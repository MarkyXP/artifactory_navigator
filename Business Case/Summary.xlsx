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artifactory_navigator\Business Case\"/>
    </mc:Choice>
  </mc:AlternateContent>
  <xr:revisionPtr revIDLastSave="0" documentId="13_ncr:1_{6E92DA33-EE30-4882-9736-C351EAE425A6}" xr6:coauthVersionLast="47" xr6:coauthVersionMax="47" xr10:uidLastSave="{00000000-0000-0000-0000-000000000000}"/>
  <bookViews>
    <workbookView xWindow="57495" yWindow="0" windowWidth="14610" windowHeight="17385" xr2:uid="{0C1CD131-2649-44B2-9321-D9E395CDE8D9}"/>
  </bookViews>
  <sheets>
    <sheet name="Summary" sheetId="4" r:id="rId1"/>
    <sheet name="Pricing" sheetId="5" r:id="rId2"/>
    <sheet name="Usage" sheetId="1" r:id="rId3"/>
    <sheet name="Timing" sheetId="2" r:id="rId4"/>
    <sheet name="Mistak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6" i="5"/>
  <c r="C10" i="4"/>
  <c r="C11" i="4" s="1"/>
  <c r="B7" i="2"/>
  <c r="B11" i="3"/>
  <c r="C9" i="3"/>
  <c r="C11" i="3"/>
  <c r="C3" i="4"/>
  <c r="C8" i="3"/>
  <c r="B6" i="2"/>
  <c r="B5" i="2"/>
  <c r="B4" i="2"/>
  <c r="C7" i="3"/>
  <c r="B3" i="2"/>
  <c r="E3" i="5"/>
  <c r="C3" i="5"/>
  <c r="C2" i="4"/>
  <c r="C3" i="3"/>
  <c r="C4" i="3"/>
  <c r="C5" i="3"/>
  <c r="C6" i="3"/>
  <c r="C2" i="3"/>
  <c r="B2" i="2"/>
  <c r="E42" i="1"/>
  <c r="D41" i="1"/>
  <c r="D38" i="1"/>
  <c r="E38" i="1"/>
  <c r="F38" i="1"/>
  <c r="G38" i="1"/>
  <c r="D39" i="1"/>
  <c r="E39" i="1"/>
  <c r="F39" i="1"/>
  <c r="G39" i="1"/>
  <c r="C39" i="1"/>
  <c r="C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4" i="4" l="1"/>
  <c r="C6" i="4" s="1"/>
  <c r="C7" i="4" s="1"/>
  <c r="B9" i="2"/>
  <c r="C8" i="4"/>
  <c r="C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Evans</author>
  </authors>
  <commentList>
    <comment ref="C5" authorId="0" shapeId="0" xr:uid="{DD99F280-476C-4DA9-B959-C0DF8906F3C6}">
      <text>
        <r>
          <rPr>
            <b/>
            <sz val="9"/>
            <color indexed="81"/>
            <rFont val="Tahoma"/>
            <charset val="1"/>
          </rPr>
          <t>Mark Evans:</t>
        </r>
        <r>
          <rPr>
            <sz val="9"/>
            <color indexed="81"/>
            <rFont val="Tahoma"/>
            <charset val="1"/>
          </rPr>
          <t xml:space="preserve">
https://www.salaryexpert.com/salary/job/engineer/australia#:~:text=The%20average%20engineer%20salary%20in%20Australia%20is%20$153,629,directly%20from%20employers%20and%20anonymous%20employees%20in%20Australia</t>
        </r>
      </text>
    </comment>
  </commentList>
</comments>
</file>

<file path=xl/sharedStrings.xml><?xml version="1.0" encoding="utf-8"?>
<sst xmlns="http://schemas.openxmlformats.org/spreadsheetml/2006/main" count="122" uniqueCount="79">
  <si>
    <t>﻿"Period Start"</t>
  </si>
  <si>
    <t>Period End</t>
  </si>
  <si>
    <t>Envelopes Sent</t>
  </si>
  <si>
    <t>Envelopes Completed</t>
  </si>
  <si>
    <t>Envelopes Declined</t>
  </si>
  <si>
    <t>Envelopes Voided</t>
  </si>
  <si>
    <t>Envelopes Open</t>
  </si>
  <si>
    <t>2019-09-01T00:00:00 AEST</t>
  </si>
  <si>
    <t>2019-10-01T00:00:00 AEST</t>
  </si>
  <si>
    <t>2019-11-01T00:00:00 AEDT</t>
  </si>
  <si>
    <t>2019-12-01T00:00:00 AEDT</t>
  </si>
  <si>
    <t>2020-01-01T00:00:00 AEDT</t>
  </si>
  <si>
    <t>2020-02-01T00:00:00 AEDT</t>
  </si>
  <si>
    <t>2020-03-01T00:00:00 AEDT</t>
  </si>
  <si>
    <t>2020-04-01T00:00:00 AEDT</t>
  </si>
  <si>
    <t>2020-05-01T00:00:00 AEST</t>
  </si>
  <si>
    <t>2020-06-01T00:00:00 AEST</t>
  </si>
  <si>
    <t>2020-07-01T00:00:00 AEST</t>
  </si>
  <si>
    <t>2020-08-01T00:00:00 AEST</t>
  </si>
  <si>
    <t>2020-09-01T00:00:00 AEST</t>
  </si>
  <si>
    <t>2020-10-01T00:00:00 AEST</t>
  </si>
  <si>
    <t>2020-11-01T00:00:00 AEDT</t>
  </si>
  <si>
    <t>2020-12-01T00:00:00 AEDT</t>
  </si>
  <si>
    <t>2021-01-01T00:00:00 AEDT</t>
  </si>
  <si>
    <t>2021-02-01T00:00:00 AEDT</t>
  </si>
  <si>
    <t>2021-03-01T00:00:00 AEDT</t>
  </si>
  <si>
    <t>2021-04-01T00:00:00 AEDT</t>
  </si>
  <si>
    <t>2021-05-01T00:00:00 AEST</t>
  </si>
  <si>
    <t>2021-06-01T00:00:00 AEST</t>
  </si>
  <si>
    <t>2021-07-01T00:00:00 AEST</t>
  </si>
  <si>
    <t>2021-08-01T00:00:00 AEST</t>
  </si>
  <si>
    <t>2021-09-01T00:00:00 AEST</t>
  </si>
  <si>
    <t>2021-10-01T00:00:00 AEST</t>
  </si>
  <si>
    <t>2021-11-01T00:00:00 AEDT</t>
  </si>
  <si>
    <t>2021-12-01T00:00:00 AEDT</t>
  </si>
  <si>
    <t>2022-01-01T00:00:00 AEDT</t>
  </si>
  <si>
    <t>2022-02-01T00:00:00 AEDT</t>
  </si>
  <si>
    <t>2022-03-01T00:00:00 AEDT</t>
  </si>
  <si>
    <t>2022-04-01T00:00:00 AEDT</t>
  </si>
  <si>
    <t>2022-05-01T00:00:00 AEST</t>
  </si>
  <si>
    <t>2022-06-01T00:00:00 AEST</t>
  </si>
  <si>
    <t>2022-07-01T00:00:00 AEST</t>
  </si>
  <si>
    <t>2022-08-01T00:00:00 AEST</t>
  </si>
  <si>
    <t>Total</t>
  </si>
  <si>
    <t>Average</t>
  </si>
  <si>
    <t>Annually Correct</t>
  </si>
  <si>
    <t>Annualy Wrong</t>
  </si>
  <si>
    <t>Kuljit</t>
  </si>
  <si>
    <t>Orla</t>
  </si>
  <si>
    <t>Issues with Coversheets</t>
  </si>
  <si>
    <t>Issues with SRC</t>
  </si>
  <si>
    <t>Negin</t>
  </si>
  <si>
    <t>Susie</t>
  </si>
  <si>
    <t>George A</t>
  </si>
  <si>
    <t>Annual Mistaken Envelopes</t>
  </si>
  <si>
    <t xml:space="preserve">  - That could have been avoided</t>
  </si>
  <si>
    <t xml:space="preserve">  - That would have still happened</t>
  </si>
  <si>
    <t>Estimated Annual Envelopes</t>
  </si>
  <si>
    <t xml:space="preserve">  - Reduction</t>
  </si>
  <si>
    <t>Envelope Cost</t>
  </si>
  <si>
    <t>USD</t>
  </si>
  <si>
    <t>AUD</t>
  </si>
  <si>
    <t>Pricing Under LBSMEL</t>
  </si>
  <si>
    <t>Est New Pricing</t>
  </si>
  <si>
    <t xml:space="preserve">  - Estimated Savings</t>
  </si>
  <si>
    <t>Engineers Time</t>
  </si>
  <si>
    <t>Time Spend per Envelope</t>
  </si>
  <si>
    <t>per year</t>
  </si>
  <si>
    <t>per second</t>
  </si>
  <si>
    <t>Engineers Cost / Envelope
coversheet generation</t>
  </si>
  <si>
    <t xml:space="preserve">  - Annual Savings</t>
  </si>
  <si>
    <t>Total Savings</t>
  </si>
  <si>
    <t>Warren</t>
  </si>
  <si>
    <t>NegR</t>
  </si>
  <si>
    <t>Subodha</t>
  </si>
  <si>
    <t>Matt Long</t>
  </si>
  <si>
    <t>Salary</t>
  </si>
  <si>
    <t>sec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</si>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</sst>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0">
    <xf numFmtId="0" fontId="0" fillId="0" borderId="0" xfId="0"/>
    <xf numFmtId="0" fontId="2" fillId="0" borderId="1" xfId="4"/>
    <xf numFmtId="9" fontId="0" fillId="0" borderId="0" xfId="3" applyFont="1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44" fontId="0" fillId="0" borderId="0" xfId="2" applyFont="1"/>
    <xf numFmtId="8" fontId="0" fillId="0" borderId="0" xfId="0" applyNumberFormat="1"/>
    <xf numFmtId="0" fontId="0" fillId="0" borderId="0" xfId="0" applyAlignment="1">
      <alignment wrapText="1"/>
    </xf>
    <xf numFmtId="44" fontId="0" fillId="0" borderId="0" xfId="0" applyNumberFormat="1"/>
  </cellXfs>
  <cellStyles count="5">
    <cellStyle name="Comma" xfId="1" builtinId="3"/>
    <cellStyle name="Currency" xfId="2" builtinId="4"/>
    <cellStyle name="Heading 3" xfId="4" builtinId="1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BBA6-2EFF-4F7D-9135-E17DD52F5603}">
  <dimension ref="B2:C13"/>
  <sheetViews>
    <sheetView tabSelected="1" zoomScale="145" zoomScaleNormal="145" workbookViewId="0"/>
  </sheetViews>
  <sheetFormatPr defaultRowHeight="15" x14ac:dyDescent="0.25"/>
  <cols>
    <col min="2" max="2" width="44.140625" bestFit="1" customWidth="1"/>
    <col min="3" max="3" width="12" bestFit="1" customWidth="1"/>
  </cols>
  <sheetData>
    <row r="2" spans="2:3" x14ac:dyDescent="0.25">
      <c r="B2" t="s">
        <v>54</v>
      </c>
      <c r="C2" s="4">
        <f>Usage!E42</f>
        <v>1239.0857142857142</v>
      </c>
    </row>
    <row r="3" spans="2:3" x14ac:dyDescent="0.25">
      <c r="B3" t="s">
        <v>55</v>
      </c>
      <c r="C3" s="5">
        <f>C2*Mistakes!B11</f>
        <v>789.91714285714284</v>
      </c>
    </row>
    <row r="4" spans="2:3" x14ac:dyDescent="0.25">
      <c r="B4" t="s">
        <v>56</v>
      </c>
      <c r="C4" s="5">
        <f>C2*Mistakes!C11</f>
        <v>449.16857142857128</v>
      </c>
    </row>
    <row r="6" spans="2:3" x14ac:dyDescent="0.25">
      <c r="B6" t="s">
        <v>57</v>
      </c>
      <c r="C6" s="5">
        <f>C4+Usage!D41</f>
        <v>4453.0542857142855</v>
      </c>
    </row>
    <row r="7" spans="2:3" x14ac:dyDescent="0.25">
      <c r="B7" t="s">
        <v>58</v>
      </c>
      <c r="C7" s="2">
        <f>C3/C6</f>
        <v>0.17738771911926904</v>
      </c>
    </row>
    <row r="8" spans="2:3" x14ac:dyDescent="0.25">
      <c r="B8" t="s">
        <v>64</v>
      </c>
      <c r="C8" s="6">
        <f>C3*Pricing!E3</f>
        <v>4802.6962285714289</v>
      </c>
    </row>
    <row r="10" spans="2:3" ht="30" x14ac:dyDescent="0.25">
      <c r="B10" s="8" t="s">
        <v>69</v>
      </c>
      <c r="C10" s="7">
        <f>Timing!B9*Pricing!C6</f>
        <v>8.5349444444444451</v>
      </c>
    </row>
    <row r="11" spans="2:3" x14ac:dyDescent="0.25">
      <c r="B11" t="s">
        <v>70</v>
      </c>
      <c r="C11" s="6">
        <f>C10*C6</f>
        <v>38006.570936666671</v>
      </c>
    </row>
    <row r="13" spans="2:3" x14ac:dyDescent="0.25">
      <c r="B13" t="s">
        <v>71</v>
      </c>
      <c r="C13" s="9">
        <f>C11+C8</f>
        <v>42809.267165238096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9686-D7CC-4F15-A5E6-3D52E790B672}">
  <dimension ref="A1:E6"/>
  <sheetViews>
    <sheetView workbookViewId="0"/>
  </sheetViews>
  <sheetFormatPr defaultRowHeight="15" x14ac:dyDescent="0.25"/>
  <cols>
    <col min="1" max="1" width="14.42578125" bestFit="1" customWidth="1"/>
    <col min="3" max="3" width="11.140625" bestFit="1" customWidth="1"/>
  </cols>
  <sheetData>
    <row r="1" spans="1:5" x14ac:dyDescent="0.25">
      <c r="B1" t="s">
        <v>62</v>
      </c>
      <c r="D1" t="s">
        <v>63</v>
      </c>
    </row>
    <row r="2" spans="1:5" x14ac:dyDescent="0.25">
      <c r="B2" t="s">
        <v>60</v>
      </c>
      <c r="C2" t="s">
        <v>61</v>
      </c>
      <c r="D2" t="s">
        <v>60</v>
      </c>
      <c r="E2" t="s">
        <v>61</v>
      </c>
    </row>
    <row r="3" spans="1:5" x14ac:dyDescent="0.25">
      <c r="A3" t="s">
        <v>59</v>
      </c>
      <c r="B3" s="6">
        <v>4.84</v>
      </c>
      <c r="C3" s="6">
        <f>B3*1.52</f>
        <v>7.3567999999999998</v>
      </c>
      <c r="D3" s="6">
        <v>4</v>
      </c>
      <c r="E3" s="6">
        <f>D3*1.52</f>
        <v>6.08</v>
      </c>
    </row>
    <row r="5" spans="1:5" x14ac:dyDescent="0.25">
      <c r="A5" t="s">
        <v>65</v>
      </c>
      <c r="B5" t="s">
        <v>76</v>
      </c>
      <c r="C5" s="7">
        <v>153629</v>
      </c>
      <c r="D5" t="s">
        <v>67</v>
      </c>
    </row>
    <row r="6" spans="1:5" x14ac:dyDescent="0.25">
      <c r="C6" s="7">
        <f>C5/46/37.5/60/60</f>
        <v>2.4738969404186798E-2</v>
      </c>
      <c r="D6" t="s">
        <v>68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7B8C-14CC-4606-84B7-C60BD8B798C8}">
  <dimension ref="A1:G42"/>
  <sheetViews>
    <sheetView zoomScale="85" zoomScaleNormal="85" workbookViewId="0"/>
  </sheetViews>
  <sheetFormatPr defaultRowHeight="15" x14ac:dyDescent="0.25"/>
  <cols>
    <col min="1" max="2" width="23.85546875" bestFit="1" customWidth="1"/>
    <col min="3" max="3" width="15.140625" bestFit="1" customWidth="1"/>
    <col min="4" max="4" width="21.42578125" bestFit="1" customWidth="1"/>
    <col min="5" max="5" width="19.28515625" bestFit="1" customWidth="1"/>
    <col min="6" max="6" width="17.42578125" bestFit="1" customWidth="1"/>
    <col min="7" max="7" width="15.855468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565</v>
      </c>
      <c r="D2">
        <v>448</v>
      </c>
      <c r="E2">
        <v>9</v>
      </c>
      <c r="F2">
        <v>108</v>
      </c>
      <c r="G2">
        <f t="shared" ref="G2:G36" si="0">C2-SUM(D2:F2)</f>
        <v>0</v>
      </c>
    </row>
    <row r="3" spans="1:7" x14ac:dyDescent="0.25">
      <c r="A3" t="s">
        <v>8</v>
      </c>
      <c r="B3" t="s">
        <v>9</v>
      </c>
      <c r="C3">
        <v>569</v>
      </c>
      <c r="D3">
        <v>435</v>
      </c>
      <c r="E3">
        <v>27</v>
      </c>
      <c r="F3">
        <v>107</v>
      </c>
      <c r="G3">
        <f t="shared" si="0"/>
        <v>0</v>
      </c>
    </row>
    <row r="4" spans="1:7" x14ac:dyDescent="0.25">
      <c r="A4" t="s">
        <v>9</v>
      </c>
      <c r="B4" t="s">
        <v>10</v>
      </c>
      <c r="C4">
        <v>328</v>
      </c>
      <c r="D4">
        <v>255</v>
      </c>
      <c r="E4">
        <v>35</v>
      </c>
      <c r="F4">
        <v>38</v>
      </c>
      <c r="G4">
        <f t="shared" si="0"/>
        <v>0</v>
      </c>
    </row>
    <row r="5" spans="1:7" x14ac:dyDescent="0.25">
      <c r="A5" t="s">
        <v>10</v>
      </c>
      <c r="B5" t="s">
        <v>11</v>
      </c>
      <c r="C5">
        <v>306</v>
      </c>
      <c r="D5">
        <v>231</v>
      </c>
      <c r="E5">
        <v>31</v>
      </c>
      <c r="F5">
        <v>44</v>
      </c>
      <c r="G5">
        <f t="shared" si="0"/>
        <v>0</v>
      </c>
    </row>
    <row r="6" spans="1:7" x14ac:dyDescent="0.25">
      <c r="A6" t="s">
        <v>11</v>
      </c>
      <c r="B6" t="s">
        <v>12</v>
      </c>
      <c r="C6">
        <v>176</v>
      </c>
      <c r="D6">
        <v>116</v>
      </c>
      <c r="E6">
        <v>19</v>
      </c>
      <c r="F6">
        <v>41</v>
      </c>
      <c r="G6">
        <f t="shared" si="0"/>
        <v>0</v>
      </c>
    </row>
    <row r="7" spans="1:7" x14ac:dyDescent="0.25">
      <c r="A7" t="s">
        <v>12</v>
      </c>
      <c r="B7" t="s">
        <v>13</v>
      </c>
      <c r="C7">
        <v>175</v>
      </c>
      <c r="D7">
        <v>127</v>
      </c>
      <c r="E7">
        <v>12</v>
      </c>
      <c r="F7">
        <v>36</v>
      </c>
      <c r="G7">
        <f t="shared" si="0"/>
        <v>0</v>
      </c>
    </row>
    <row r="8" spans="1:7" x14ac:dyDescent="0.25">
      <c r="A8" t="s">
        <v>13</v>
      </c>
      <c r="B8" t="s">
        <v>14</v>
      </c>
      <c r="C8">
        <v>173</v>
      </c>
      <c r="D8">
        <v>125</v>
      </c>
      <c r="E8">
        <v>16</v>
      </c>
      <c r="F8">
        <v>32</v>
      </c>
      <c r="G8">
        <f t="shared" si="0"/>
        <v>0</v>
      </c>
    </row>
    <row r="9" spans="1:7" x14ac:dyDescent="0.25">
      <c r="A9" t="s">
        <v>14</v>
      </c>
      <c r="B9" t="s">
        <v>15</v>
      </c>
      <c r="C9">
        <v>114</v>
      </c>
      <c r="D9">
        <v>71</v>
      </c>
      <c r="E9">
        <v>15</v>
      </c>
      <c r="F9">
        <v>28</v>
      </c>
      <c r="G9">
        <f t="shared" si="0"/>
        <v>0</v>
      </c>
    </row>
    <row r="10" spans="1:7" x14ac:dyDescent="0.25">
      <c r="A10" t="s">
        <v>15</v>
      </c>
      <c r="B10" t="s">
        <v>16</v>
      </c>
      <c r="C10">
        <v>194</v>
      </c>
      <c r="D10">
        <v>133</v>
      </c>
      <c r="E10">
        <v>21</v>
      </c>
      <c r="F10">
        <v>40</v>
      </c>
      <c r="G10">
        <f t="shared" si="0"/>
        <v>0</v>
      </c>
    </row>
    <row r="11" spans="1:7" x14ac:dyDescent="0.25">
      <c r="A11" t="s">
        <v>16</v>
      </c>
      <c r="B11" t="s">
        <v>17</v>
      </c>
      <c r="C11">
        <v>245</v>
      </c>
      <c r="D11">
        <v>157</v>
      </c>
      <c r="E11">
        <v>25</v>
      </c>
      <c r="F11">
        <v>63</v>
      </c>
      <c r="G11">
        <f t="shared" si="0"/>
        <v>0</v>
      </c>
    </row>
    <row r="12" spans="1:7" x14ac:dyDescent="0.25">
      <c r="A12" t="s">
        <v>17</v>
      </c>
      <c r="B12" t="s">
        <v>18</v>
      </c>
      <c r="C12">
        <v>524</v>
      </c>
      <c r="D12">
        <v>399</v>
      </c>
      <c r="E12">
        <v>33</v>
      </c>
      <c r="F12">
        <v>92</v>
      </c>
      <c r="G12">
        <f t="shared" si="0"/>
        <v>0</v>
      </c>
    </row>
    <row r="13" spans="1:7" x14ac:dyDescent="0.25">
      <c r="A13" t="s">
        <v>18</v>
      </c>
      <c r="B13" t="s">
        <v>19</v>
      </c>
      <c r="C13">
        <v>358</v>
      </c>
      <c r="D13">
        <v>265</v>
      </c>
      <c r="E13">
        <v>21</v>
      </c>
      <c r="F13">
        <v>72</v>
      </c>
      <c r="G13">
        <f t="shared" si="0"/>
        <v>0</v>
      </c>
    </row>
    <row r="14" spans="1:7" x14ac:dyDescent="0.25">
      <c r="A14" t="s">
        <v>19</v>
      </c>
      <c r="B14" t="s">
        <v>20</v>
      </c>
      <c r="C14">
        <v>366</v>
      </c>
      <c r="D14">
        <v>294</v>
      </c>
      <c r="E14">
        <v>13</v>
      </c>
      <c r="F14">
        <v>59</v>
      </c>
      <c r="G14">
        <f t="shared" si="0"/>
        <v>0</v>
      </c>
    </row>
    <row r="15" spans="1:7" x14ac:dyDescent="0.25">
      <c r="A15" t="s">
        <v>20</v>
      </c>
      <c r="B15" t="s">
        <v>21</v>
      </c>
      <c r="C15">
        <v>457</v>
      </c>
      <c r="D15">
        <v>318</v>
      </c>
      <c r="E15">
        <v>20</v>
      </c>
      <c r="F15">
        <v>119</v>
      </c>
      <c r="G15">
        <f t="shared" si="0"/>
        <v>0</v>
      </c>
    </row>
    <row r="16" spans="1:7" x14ac:dyDescent="0.25">
      <c r="A16" t="s">
        <v>21</v>
      </c>
      <c r="B16" t="s">
        <v>22</v>
      </c>
      <c r="C16">
        <v>345</v>
      </c>
      <c r="D16">
        <v>258</v>
      </c>
      <c r="E16">
        <v>8</v>
      </c>
      <c r="F16">
        <v>79</v>
      </c>
      <c r="G16">
        <f t="shared" si="0"/>
        <v>0</v>
      </c>
    </row>
    <row r="17" spans="1:7" x14ac:dyDescent="0.25">
      <c r="A17" t="s">
        <v>22</v>
      </c>
      <c r="B17" t="s">
        <v>23</v>
      </c>
      <c r="C17">
        <v>625</v>
      </c>
      <c r="D17">
        <v>517</v>
      </c>
      <c r="E17">
        <v>31</v>
      </c>
      <c r="F17">
        <v>77</v>
      </c>
      <c r="G17">
        <f t="shared" si="0"/>
        <v>0</v>
      </c>
    </row>
    <row r="18" spans="1:7" x14ac:dyDescent="0.25">
      <c r="A18" t="s">
        <v>23</v>
      </c>
      <c r="B18" t="s">
        <v>24</v>
      </c>
      <c r="C18">
        <v>389</v>
      </c>
      <c r="D18">
        <v>319</v>
      </c>
      <c r="E18">
        <v>15</v>
      </c>
      <c r="F18">
        <v>54</v>
      </c>
      <c r="G18">
        <f t="shared" si="0"/>
        <v>1</v>
      </c>
    </row>
    <row r="19" spans="1:7" x14ac:dyDescent="0.25">
      <c r="A19" t="s">
        <v>24</v>
      </c>
      <c r="B19" t="s">
        <v>25</v>
      </c>
      <c r="C19">
        <v>419</v>
      </c>
      <c r="D19">
        <v>321</v>
      </c>
      <c r="E19">
        <v>22</v>
      </c>
      <c r="F19">
        <v>73</v>
      </c>
      <c r="G19">
        <f t="shared" si="0"/>
        <v>3</v>
      </c>
    </row>
    <row r="20" spans="1:7" x14ac:dyDescent="0.25">
      <c r="A20" t="s">
        <v>25</v>
      </c>
      <c r="B20" t="s">
        <v>26</v>
      </c>
      <c r="C20">
        <v>339</v>
      </c>
      <c r="D20">
        <v>253</v>
      </c>
      <c r="E20">
        <v>9</v>
      </c>
      <c r="F20">
        <v>77</v>
      </c>
      <c r="G20">
        <f t="shared" si="0"/>
        <v>0</v>
      </c>
    </row>
    <row r="21" spans="1:7" x14ac:dyDescent="0.25">
      <c r="A21" t="s">
        <v>26</v>
      </c>
      <c r="B21" t="s">
        <v>27</v>
      </c>
      <c r="C21">
        <v>589</v>
      </c>
      <c r="D21">
        <v>437</v>
      </c>
      <c r="E21">
        <v>25</v>
      </c>
      <c r="F21">
        <v>123</v>
      </c>
      <c r="G21">
        <f t="shared" si="0"/>
        <v>4</v>
      </c>
    </row>
    <row r="22" spans="1:7" x14ac:dyDescent="0.25">
      <c r="A22" t="s">
        <v>27</v>
      </c>
      <c r="B22" t="s">
        <v>28</v>
      </c>
      <c r="C22">
        <v>419</v>
      </c>
      <c r="D22">
        <v>318</v>
      </c>
      <c r="E22">
        <v>13</v>
      </c>
      <c r="F22">
        <v>84</v>
      </c>
      <c r="G22">
        <f t="shared" si="0"/>
        <v>4</v>
      </c>
    </row>
    <row r="23" spans="1:7" x14ac:dyDescent="0.25">
      <c r="A23" t="s">
        <v>28</v>
      </c>
      <c r="B23" t="s">
        <v>29</v>
      </c>
      <c r="C23">
        <v>661</v>
      </c>
      <c r="D23">
        <v>525</v>
      </c>
      <c r="E23">
        <v>28</v>
      </c>
      <c r="F23">
        <v>105</v>
      </c>
      <c r="G23">
        <f t="shared" si="0"/>
        <v>3</v>
      </c>
    </row>
    <row r="24" spans="1:7" x14ac:dyDescent="0.25">
      <c r="A24" t="s">
        <v>29</v>
      </c>
      <c r="B24" t="s">
        <v>30</v>
      </c>
      <c r="C24">
        <v>594</v>
      </c>
      <c r="D24">
        <v>450</v>
      </c>
      <c r="E24">
        <v>15</v>
      </c>
      <c r="F24">
        <v>121</v>
      </c>
      <c r="G24">
        <f t="shared" si="0"/>
        <v>8</v>
      </c>
    </row>
    <row r="25" spans="1:7" x14ac:dyDescent="0.25">
      <c r="A25" t="s">
        <v>30</v>
      </c>
      <c r="B25" t="s">
        <v>31</v>
      </c>
      <c r="C25">
        <v>519</v>
      </c>
      <c r="D25">
        <v>399</v>
      </c>
      <c r="E25">
        <v>16</v>
      </c>
      <c r="F25">
        <v>102</v>
      </c>
      <c r="G25">
        <f t="shared" si="0"/>
        <v>2</v>
      </c>
    </row>
    <row r="26" spans="1:7" x14ac:dyDescent="0.25">
      <c r="A26" t="s">
        <v>31</v>
      </c>
      <c r="B26" t="s">
        <v>32</v>
      </c>
      <c r="C26">
        <v>509</v>
      </c>
      <c r="D26">
        <v>376</v>
      </c>
      <c r="E26">
        <v>13</v>
      </c>
      <c r="F26">
        <v>117</v>
      </c>
      <c r="G26">
        <f t="shared" si="0"/>
        <v>3</v>
      </c>
    </row>
    <row r="27" spans="1:7" x14ac:dyDescent="0.25">
      <c r="A27" t="s">
        <v>32</v>
      </c>
      <c r="B27" t="s">
        <v>33</v>
      </c>
      <c r="C27">
        <v>565</v>
      </c>
      <c r="D27">
        <v>432</v>
      </c>
      <c r="E27">
        <v>21</v>
      </c>
      <c r="F27">
        <v>109</v>
      </c>
      <c r="G27">
        <f t="shared" si="0"/>
        <v>3</v>
      </c>
    </row>
    <row r="28" spans="1:7" x14ac:dyDescent="0.25">
      <c r="A28" t="s">
        <v>33</v>
      </c>
      <c r="B28" t="s">
        <v>34</v>
      </c>
      <c r="C28">
        <v>412</v>
      </c>
      <c r="D28">
        <v>327</v>
      </c>
      <c r="E28">
        <v>22</v>
      </c>
      <c r="F28">
        <v>62</v>
      </c>
      <c r="G28">
        <f t="shared" si="0"/>
        <v>1</v>
      </c>
    </row>
    <row r="29" spans="1:7" x14ac:dyDescent="0.25">
      <c r="A29" t="s">
        <v>34</v>
      </c>
      <c r="B29" t="s">
        <v>35</v>
      </c>
      <c r="C29">
        <v>551</v>
      </c>
      <c r="D29">
        <v>402</v>
      </c>
      <c r="E29">
        <v>30</v>
      </c>
      <c r="F29">
        <v>116</v>
      </c>
      <c r="G29">
        <f t="shared" si="0"/>
        <v>3</v>
      </c>
    </row>
    <row r="30" spans="1:7" x14ac:dyDescent="0.25">
      <c r="A30" t="s">
        <v>35</v>
      </c>
      <c r="B30" t="s">
        <v>36</v>
      </c>
      <c r="C30">
        <v>342</v>
      </c>
      <c r="D30">
        <v>267</v>
      </c>
      <c r="E30">
        <v>12</v>
      </c>
      <c r="F30">
        <v>61</v>
      </c>
      <c r="G30">
        <f t="shared" si="0"/>
        <v>2</v>
      </c>
    </row>
    <row r="31" spans="1:7" x14ac:dyDescent="0.25">
      <c r="A31" t="s">
        <v>36</v>
      </c>
      <c r="B31" t="s">
        <v>37</v>
      </c>
      <c r="C31">
        <v>532</v>
      </c>
      <c r="D31">
        <v>387</v>
      </c>
      <c r="E31">
        <v>16</v>
      </c>
      <c r="F31">
        <v>124</v>
      </c>
      <c r="G31">
        <f t="shared" si="0"/>
        <v>5</v>
      </c>
    </row>
    <row r="32" spans="1:7" x14ac:dyDescent="0.25">
      <c r="A32" t="s">
        <v>37</v>
      </c>
      <c r="B32" t="s">
        <v>38</v>
      </c>
      <c r="C32">
        <v>738</v>
      </c>
      <c r="D32">
        <v>555</v>
      </c>
      <c r="E32">
        <v>13</v>
      </c>
      <c r="F32">
        <v>168</v>
      </c>
      <c r="G32">
        <f t="shared" si="0"/>
        <v>2</v>
      </c>
    </row>
    <row r="33" spans="1:7" x14ac:dyDescent="0.25">
      <c r="A33" t="s">
        <v>38</v>
      </c>
      <c r="B33" t="s">
        <v>39</v>
      </c>
      <c r="C33">
        <v>566</v>
      </c>
      <c r="D33">
        <v>457</v>
      </c>
      <c r="E33">
        <v>23</v>
      </c>
      <c r="F33">
        <v>82</v>
      </c>
      <c r="G33">
        <f t="shared" si="0"/>
        <v>4</v>
      </c>
    </row>
    <row r="34" spans="1:7" x14ac:dyDescent="0.25">
      <c r="A34" t="s">
        <v>39</v>
      </c>
      <c r="B34" t="s">
        <v>40</v>
      </c>
      <c r="C34">
        <v>617</v>
      </c>
      <c r="D34">
        <v>460</v>
      </c>
      <c r="E34">
        <v>19</v>
      </c>
      <c r="F34">
        <v>130</v>
      </c>
      <c r="G34">
        <f t="shared" si="0"/>
        <v>8</v>
      </c>
    </row>
    <row r="35" spans="1:7" x14ac:dyDescent="0.25">
      <c r="A35" t="s">
        <v>40</v>
      </c>
      <c r="B35" t="s">
        <v>41</v>
      </c>
      <c r="C35">
        <v>619</v>
      </c>
      <c r="D35">
        <v>482</v>
      </c>
      <c r="E35">
        <v>11</v>
      </c>
      <c r="F35">
        <v>121</v>
      </c>
      <c r="G35">
        <f t="shared" si="0"/>
        <v>5</v>
      </c>
    </row>
    <row r="36" spans="1:7" x14ac:dyDescent="0.25">
      <c r="A36" t="s">
        <v>41</v>
      </c>
      <c r="B36" t="s">
        <v>42</v>
      </c>
      <c r="C36">
        <v>465</v>
      </c>
      <c r="D36">
        <v>362</v>
      </c>
      <c r="E36">
        <v>7</v>
      </c>
      <c r="F36">
        <v>84</v>
      </c>
      <c r="G36">
        <f t="shared" si="0"/>
        <v>12</v>
      </c>
    </row>
    <row r="38" spans="1:7" x14ac:dyDescent="0.25">
      <c r="B38" t="s">
        <v>43</v>
      </c>
      <c r="C38">
        <f>SUM(C2:C36)</f>
        <v>15365</v>
      </c>
      <c r="D38">
        <f t="shared" ref="D38:G38" si="1">SUM(D2:D36)</f>
        <v>11678</v>
      </c>
      <c r="E38">
        <f t="shared" si="1"/>
        <v>666</v>
      </c>
      <c r="F38">
        <f t="shared" si="1"/>
        <v>2948</v>
      </c>
      <c r="G38">
        <f t="shared" si="1"/>
        <v>73</v>
      </c>
    </row>
    <row r="39" spans="1:7" x14ac:dyDescent="0.25">
      <c r="B39" t="s">
        <v>44</v>
      </c>
      <c r="C39">
        <f>C38/COUNT(C2:C36)</f>
        <v>439</v>
      </c>
      <c r="D39">
        <f t="shared" ref="D39:G39" si="2">D38/COUNT(D2:D36)</f>
        <v>333.65714285714284</v>
      </c>
      <c r="E39">
        <f t="shared" si="2"/>
        <v>19.028571428571428</v>
      </c>
      <c r="F39">
        <f t="shared" si="2"/>
        <v>84.228571428571428</v>
      </c>
      <c r="G39">
        <f t="shared" si="2"/>
        <v>2.0857142857142859</v>
      </c>
    </row>
    <row r="41" spans="1:7" x14ac:dyDescent="0.25">
      <c r="B41" t="s">
        <v>45</v>
      </c>
      <c r="D41">
        <f>D39*12</f>
        <v>4003.8857142857141</v>
      </c>
    </row>
    <row r="42" spans="1:7" x14ac:dyDescent="0.25">
      <c r="B42" t="s">
        <v>46</v>
      </c>
      <c r="E42">
        <f>SUM(E39:F39)*12</f>
        <v>1239.0857142857142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5038-6BA6-4FAB-BA81-5C4E82AAFBC2}">
  <dimension ref="A1:C10"/>
  <sheetViews>
    <sheetView workbookViewId="0"/>
  </sheetViews>
  <sheetFormatPr defaultRowHeight="15" x14ac:dyDescent="0.25"/>
  <sheetData>
    <row r="1" spans="1:3" x14ac:dyDescent="0.25">
      <c r="B1" t="s">
        <v>66</v>
      </c>
    </row>
    <row r="2" spans="1:3" x14ac:dyDescent="0.25">
      <c r="A2" t="s">
        <v>47</v>
      </c>
      <c r="B2">
        <f>4*60</f>
        <v>240</v>
      </c>
    </row>
    <row r="3" spans="1:3" x14ac:dyDescent="0.25">
      <c r="A3" t="s">
        <v>72</v>
      </c>
      <c r="B3">
        <f>60*7</f>
        <v>420</v>
      </c>
    </row>
    <row r="4" spans="1:3" x14ac:dyDescent="0.25">
      <c r="A4" t="s">
        <v>52</v>
      </c>
      <c r="B4">
        <f>10*60</f>
        <v>600</v>
      </c>
    </row>
    <row r="5" spans="1:3" x14ac:dyDescent="0.25">
      <c r="A5" t="s">
        <v>73</v>
      </c>
      <c r="B5">
        <f>2.5*60</f>
        <v>150</v>
      </c>
    </row>
    <row r="6" spans="1:3" x14ac:dyDescent="0.25">
      <c r="A6" t="s">
        <v>74</v>
      </c>
      <c r="B6">
        <f>6*60</f>
        <v>360</v>
      </c>
    </row>
    <row r="7" spans="1:3" x14ac:dyDescent="0.25">
      <c r="A7" t="s">
        <v>75</v>
      </c>
      <c r="B7">
        <f>60*5</f>
        <v>300</v>
      </c>
    </row>
    <row r="9" spans="1:3" x14ac:dyDescent="0.25">
      <c r="A9" t="s">
        <v>44</v>
      </c>
      <c r="B9">
        <f>AVERAGE(B2:B8)</f>
        <v>345</v>
      </c>
      <c r="C9" t="s">
        <v>77</v>
      </c>
    </row>
    <row r="10" spans="1:3" x14ac:dyDescent="0.25">
      <c r="B10">
        <f>B9/60</f>
        <v>5.75</v>
      </c>
      <c r="C10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CAB9-4AFF-4DB2-B02E-3403902B126D}">
  <dimension ref="A1:C11"/>
  <sheetViews>
    <sheetView workbookViewId="0"/>
  </sheetViews>
  <sheetFormatPr defaultRowHeight="15" x14ac:dyDescent="0.25"/>
  <cols>
    <col min="2" max="2" width="22.28515625" bestFit="1" customWidth="1"/>
    <col min="3" max="3" width="14.7109375" bestFit="1" customWidth="1"/>
  </cols>
  <sheetData>
    <row r="1" spans="1:3" x14ac:dyDescent="0.25">
      <c r="B1" t="s">
        <v>49</v>
      </c>
      <c r="C1" t="s">
        <v>50</v>
      </c>
    </row>
    <row r="2" spans="1:3" x14ac:dyDescent="0.25">
      <c r="A2" t="s">
        <v>51</v>
      </c>
      <c r="B2" s="2">
        <v>0.8</v>
      </c>
      <c r="C2" s="2">
        <f>1-B2</f>
        <v>0.19999999999999996</v>
      </c>
    </row>
    <row r="3" spans="1:3" x14ac:dyDescent="0.25">
      <c r="A3" t="s">
        <v>48</v>
      </c>
      <c r="B3" s="2">
        <v>0.9</v>
      </c>
      <c r="C3" s="2">
        <f t="shared" ref="C3:C9" si="0">1-B3</f>
        <v>9.9999999999999978E-2</v>
      </c>
    </row>
    <row r="4" spans="1:3" x14ac:dyDescent="0.25">
      <c r="A4" t="s">
        <v>52</v>
      </c>
      <c r="B4" s="2">
        <v>0.95</v>
      </c>
      <c r="C4" s="2">
        <f t="shared" si="0"/>
        <v>5.0000000000000044E-2</v>
      </c>
    </row>
    <row r="5" spans="1:3" x14ac:dyDescent="0.25">
      <c r="A5" t="s">
        <v>53</v>
      </c>
      <c r="B5" s="2">
        <v>0.5</v>
      </c>
      <c r="C5" s="2">
        <f t="shared" si="0"/>
        <v>0.5</v>
      </c>
    </row>
    <row r="6" spans="1:3" x14ac:dyDescent="0.25">
      <c r="A6" t="s">
        <v>47</v>
      </c>
      <c r="B6" s="2">
        <v>0.05</v>
      </c>
      <c r="C6" s="2">
        <f t="shared" si="0"/>
        <v>0.95</v>
      </c>
    </row>
    <row r="7" spans="1:3" x14ac:dyDescent="0.25">
      <c r="A7" t="s">
        <v>72</v>
      </c>
      <c r="B7" s="2">
        <v>0.6</v>
      </c>
      <c r="C7" s="2">
        <f t="shared" si="0"/>
        <v>0.4</v>
      </c>
    </row>
    <row r="8" spans="1:3" x14ac:dyDescent="0.25">
      <c r="A8" t="s">
        <v>74</v>
      </c>
      <c r="B8" s="2">
        <v>0.5</v>
      </c>
      <c r="C8" s="2">
        <f t="shared" si="0"/>
        <v>0.5</v>
      </c>
    </row>
    <row r="9" spans="1:3" x14ac:dyDescent="0.25">
      <c r="A9" t="s">
        <v>75</v>
      </c>
      <c r="B9" s="2">
        <v>0.8</v>
      </c>
      <c r="C9" s="2">
        <f t="shared" si="0"/>
        <v>0.19999999999999996</v>
      </c>
    </row>
    <row r="11" spans="1:3" x14ac:dyDescent="0.25">
      <c r="A11" t="s">
        <v>44</v>
      </c>
      <c r="B11" s="3">
        <f>AVERAGE(B2:B9)</f>
        <v>0.63750000000000007</v>
      </c>
      <c r="C11" s="3">
        <f>AVERAGE(C2:C9)</f>
        <v>0.36249999999999993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Pricing</vt:lpstr>
      <vt:lpstr>Usage</vt:lpstr>
      <vt:lpstr>Timing</vt:lpstr>
      <vt:lpstr>Mistakes</vt:lpstr>
    </vt:vector>
  </TitlesOfParts>
  <Company>Leica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Mark</dc:creator>
  <cp:lastModifiedBy>Evans, Mark</cp:lastModifiedBy>
  <dcterms:created xsi:type="dcterms:W3CDTF">2025-07-25T02:53:16Z</dcterms:created>
  <dcterms:modified xsi:type="dcterms:W3CDTF">2025-07-25T04:24:58Z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2025-07-25T04:23:39Z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f4a92f98-c20e-4dbb-aee6-072bd8093606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