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artifactory_navigator\Business Case\"/>
    </mc:Choice>
  </mc:AlternateContent>
  <xr:revisionPtr revIDLastSave="0" documentId="8_{C2EB48CB-3BF1-4243-A7DD-91F752A02EE8}" xr6:coauthVersionLast="47" xr6:coauthVersionMax="47" xr10:uidLastSave="{00000000-0000-0000-0000-000000000000}"/>
  <bookViews>
    <workbookView xWindow="28695" yWindow="0" windowWidth="29010" windowHeight="31785" xr2:uid="{00000000-000D-0000-FFFF-FFFF00000000}"/>
  </bookViews>
  <sheets>
    <sheet name="ReportByEnvelopeVolume" sheetId="4" r:id="rId1"/>
    <sheet name="Envelope Volume Report Aug 2022" sheetId="5" r:id="rId2"/>
    <sheet name="Envelope Volume July 2023" sheetId="6" r:id="rId3"/>
    <sheet name="AUG2020" sheetId="3" r:id="rId4"/>
    <sheet name="Sheet1" sheetId="1" r:id="rId5"/>
    <sheet name="Sheet2" sheetId="2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8" i="6" l="1"/>
  <c r="F48" i="6"/>
  <c r="E48" i="6"/>
  <c r="D48" i="6"/>
  <c r="C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D37" i="4"/>
  <c r="E37" i="4" s="1"/>
  <c r="C41" i="4"/>
  <c r="C40" i="4"/>
  <c r="F43" i="5"/>
  <c r="E43" i="5"/>
  <c r="G43" i="5" s="1"/>
  <c r="D43" i="5"/>
  <c r="C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D7" i="4" l="1"/>
  <c r="D8" i="4" s="1"/>
  <c r="D6" i="4"/>
  <c r="B1" i="4"/>
  <c r="C44" i="4" l="1"/>
  <c r="E8" i="4"/>
  <c r="E7" i="4"/>
  <c r="D9" i="4"/>
  <c r="D10" i="4" s="1"/>
  <c r="D11" i="4" s="1"/>
  <c r="E5" i="4"/>
  <c r="E6" i="4"/>
  <c r="B1" i="3"/>
  <c r="E10" i="4" l="1"/>
  <c r="E9" i="4"/>
  <c r="D12" i="4"/>
  <c r="E11" i="4"/>
  <c r="D6" i="3"/>
  <c r="E6" i="3" s="1"/>
  <c r="C28" i="3"/>
  <c r="D5" i="3"/>
  <c r="E5" i="3" s="1"/>
  <c r="E4" i="3"/>
  <c r="D13" i="4" l="1"/>
  <c r="E12" i="4"/>
  <c r="D7" i="3"/>
  <c r="C19" i="1"/>
  <c r="D14" i="4" l="1"/>
  <c r="E13" i="4"/>
  <c r="D8" i="3"/>
  <c r="E7" i="3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E4" i="1"/>
  <c r="D6" i="1"/>
  <c r="D7" i="1" s="1"/>
  <c r="D5" i="1"/>
  <c r="E5" i="1" s="1"/>
  <c r="D15" i="4" l="1"/>
  <c r="E14" i="4"/>
  <c r="D9" i="3"/>
  <c r="E8" i="3"/>
  <c r="E6" i="1"/>
  <c r="E7" i="1"/>
  <c r="D8" i="1"/>
  <c r="C28" i="1"/>
  <c r="B2" i="1"/>
  <c r="D16" i="4" l="1"/>
  <c r="E15" i="4"/>
  <c r="D10" i="3"/>
  <c r="E9" i="3"/>
  <c r="E8" i="1"/>
  <c r="D9" i="1"/>
  <c r="E16" i="4" l="1"/>
  <c r="D17" i="4"/>
  <c r="E10" i="3"/>
  <c r="D11" i="3"/>
  <c r="D10" i="1"/>
  <c r="E9" i="1"/>
  <c r="D18" i="4" l="1"/>
  <c r="E17" i="4"/>
  <c r="E11" i="3"/>
  <c r="D12" i="3"/>
  <c r="D11" i="1"/>
  <c r="E10" i="1"/>
  <c r="D19" i="4" l="1"/>
  <c r="E18" i="4"/>
  <c r="D13" i="3"/>
  <c r="E12" i="3"/>
  <c r="D12" i="1"/>
  <c r="E11" i="1"/>
  <c r="D20" i="4" l="1"/>
  <c r="E19" i="4"/>
  <c r="E13" i="3"/>
  <c r="D14" i="3"/>
  <c r="D13" i="1"/>
  <c r="E12" i="1"/>
  <c r="D21" i="4" l="1"/>
  <c r="E20" i="4"/>
  <c r="E14" i="3"/>
  <c r="D15" i="3"/>
  <c r="D14" i="1"/>
  <c r="E13" i="1"/>
  <c r="D22" i="4" l="1"/>
  <c r="E21" i="4"/>
  <c r="D16" i="3"/>
  <c r="E15" i="3"/>
  <c r="E14" i="1"/>
  <c r="D15" i="1"/>
  <c r="D23" i="4" l="1"/>
  <c r="E22" i="4"/>
  <c r="D17" i="3"/>
  <c r="E16" i="3"/>
  <c r="D16" i="1"/>
  <c r="E15" i="1"/>
  <c r="D24" i="4" l="1"/>
  <c r="E23" i="4"/>
  <c r="E17" i="3"/>
  <c r="D18" i="3"/>
  <c r="D17" i="1"/>
  <c r="E16" i="1"/>
  <c r="D25" i="4" l="1"/>
  <c r="E25" i="4" s="1"/>
  <c r="E24" i="4"/>
  <c r="E18" i="3"/>
  <c r="D19" i="3"/>
  <c r="D18" i="1"/>
  <c r="E17" i="1"/>
  <c r="D26" i="4" l="1"/>
  <c r="E26" i="4" s="1"/>
  <c r="E19" i="3"/>
  <c r="D20" i="3"/>
  <c r="D19" i="1"/>
  <c r="E18" i="1"/>
  <c r="D27" i="4" l="1"/>
  <c r="E27" i="4" s="1"/>
  <c r="D21" i="3"/>
  <c r="E20" i="3"/>
  <c r="D20" i="1"/>
  <c r="E19" i="1"/>
  <c r="D28" i="4" l="1"/>
  <c r="D22" i="3"/>
  <c r="E21" i="3"/>
  <c r="D21" i="1"/>
  <c r="E20" i="1"/>
  <c r="E28" i="4" l="1"/>
  <c r="D29" i="4"/>
  <c r="E22" i="3"/>
  <c r="D23" i="3"/>
  <c r="D22" i="1"/>
  <c r="E21" i="1"/>
  <c r="E29" i="4" l="1"/>
  <c r="D30" i="4"/>
  <c r="D24" i="3"/>
  <c r="E23" i="3"/>
  <c r="D23" i="1"/>
  <c r="E22" i="1"/>
  <c r="E30" i="4" l="1"/>
  <c r="D31" i="4"/>
  <c r="D25" i="3"/>
  <c r="E24" i="3"/>
  <c r="D24" i="1"/>
  <c r="E23" i="1"/>
  <c r="E31" i="4" l="1"/>
  <c r="D32" i="4"/>
  <c r="D26" i="3"/>
  <c r="E25" i="3"/>
  <c r="D25" i="1"/>
  <c r="E24" i="1"/>
  <c r="D33" i="4" l="1"/>
  <c r="E32" i="4"/>
  <c r="D27" i="3"/>
  <c r="E27" i="3" s="1"/>
  <c r="E26" i="3"/>
  <c r="D26" i="1"/>
  <c r="E25" i="1"/>
  <c r="D34" i="4" l="1"/>
  <c r="E33" i="4"/>
  <c r="D27" i="1"/>
  <c r="E27" i="1" s="1"/>
  <c r="E26" i="1"/>
  <c r="D35" i="4" l="1"/>
  <c r="E34" i="4"/>
  <c r="D36" i="4" l="1"/>
  <c r="E36" i="4" s="1"/>
  <c r="E35" i="4"/>
</calcChain>
</file>

<file path=xl/sharedStrings.xml><?xml version="1.0" encoding="utf-8"?>
<sst xmlns="http://schemas.openxmlformats.org/spreadsheetml/2006/main" count="244" uniqueCount="95">
  <si>
    <t>Envelopes Purchased</t>
  </si>
  <si>
    <t>INV20526877</t>
  </si>
  <si>
    <t>INV21899162</t>
  </si>
  <si>
    <t>Envelopes Balance:</t>
  </si>
  <si>
    <t>Period Start</t>
  </si>
  <si>
    <t>Period End</t>
  </si>
  <si>
    <t>Usage</t>
  </si>
  <si>
    <t>Rolling Total</t>
  </si>
  <si>
    <t>Envelope Balance</t>
  </si>
  <si>
    <t>Average</t>
  </si>
  <si>
    <t>Total</t>
  </si>
  <si>
    <t>Invoice Date</t>
  </si>
  <si>
    <t>Invoice Number</t>
  </si>
  <si>
    <t>INV20526878</t>
  </si>
  <si>
    <t>INV21081008</t>
  </si>
  <si>
    <t>INV21731320</t>
  </si>
  <si>
    <t>INV21899163</t>
  </si>
  <si>
    <t>INV12207492</t>
  </si>
  <si>
    <t>INV12569650</t>
  </si>
  <si>
    <t>INV13293714</t>
  </si>
  <si>
    <t>INV13680085</t>
  </si>
  <si>
    <t>INV14076838</t>
  </si>
  <si>
    <t>INV14475761</t>
  </si>
  <si>
    <t>INV14884355</t>
  </si>
  <si>
    <t>INV15281348</t>
  </si>
  <si>
    <t>INV15638969</t>
  </si>
  <si>
    <t>INV16087994</t>
  </si>
  <si>
    <t>INV16489181</t>
  </si>
  <si>
    <t>INV16897714</t>
  </si>
  <si>
    <t>INV17325887</t>
  </si>
  <si>
    <t>INV17756413</t>
  </si>
  <si>
    <t>INV18219528</t>
  </si>
  <si>
    <t>INV18376426</t>
  </si>
  <si>
    <t>INV19198607</t>
  </si>
  <si>
    <t>INV19710317</t>
  </si>
  <si>
    <t>INV20265493</t>
  </si>
  <si>
    <t>Esimates in purple</t>
  </si>
  <si>
    <t>INV32618265 (PO: D1219768)</t>
  </si>
  <si>
    <t>﻿"Period Start"</t>
  </si>
  <si>
    <t>Envelopes Sent</t>
  </si>
  <si>
    <t>Envelopes Completed</t>
  </si>
  <si>
    <t>Envelopes Declined</t>
  </si>
  <si>
    <t>Envelopes Voided</t>
  </si>
  <si>
    <t>Envelopes Open</t>
  </si>
  <si>
    <t>Average Completion Time (DD:HH:MM)</t>
  </si>
  <si>
    <t>2019-05-01T00:00:00 AEST</t>
  </si>
  <si>
    <t>2019-06-01T00:00:00 AEST</t>
  </si>
  <si>
    <t>2019-07-01T00:00:00 AEST</t>
  </si>
  <si>
    <t>2019-08-01T00:00:00 AEST</t>
  </si>
  <si>
    <t>2019-09-01T00:00:00 AEST</t>
  </si>
  <si>
    <t>2019-10-01T00:00:00 AEST</t>
  </si>
  <si>
    <t>2019-11-01T00:00:00 AEDT</t>
  </si>
  <si>
    <t>2019-12-01T00:00:00 AEDT</t>
  </si>
  <si>
    <t>2020-01-01T00:00:00 AEDT</t>
  </si>
  <si>
    <t>2020-02-01T00:00:00 AEDT</t>
  </si>
  <si>
    <t>2020-03-01T00:00:00 AEDT</t>
  </si>
  <si>
    <t>2020-04-01T00:00:00 AEDT</t>
  </si>
  <si>
    <t>2020-05-01T00:00:00 AEST</t>
  </si>
  <si>
    <t>2020-06-01T00:00:00 AEST</t>
  </si>
  <si>
    <t>2020-07-01T00:00:00 AEST</t>
  </si>
  <si>
    <t>2020-08-01T00:00:00 AEST</t>
  </si>
  <si>
    <t>2020-09-01T00:00:00 AEST</t>
  </si>
  <si>
    <t>2020-10-01T00:00:00 AEST</t>
  </si>
  <si>
    <t>2020-11-01T00:00:00 AEDT</t>
  </si>
  <si>
    <t>2020-12-01T00:00:00 AEDT</t>
  </si>
  <si>
    <t>2021-01-01T00:00:00 AEDT</t>
  </si>
  <si>
    <t>2021-02-01T00:00:00 AEDT</t>
  </si>
  <si>
    <t>2021-03-01T00:00:00 AEDT</t>
  </si>
  <si>
    <t>2021-04-01T00:00:00 AEDT</t>
  </si>
  <si>
    <t>2021-05-01T00:00:00 AEST</t>
  </si>
  <si>
    <t>2021-06-01T00:00:00 AEST</t>
  </si>
  <si>
    <t>2021-07-01T00:00:00 AEST</t>
  </si>
  <si>
    <t>2021-08-01T00:00:00 AEST</t>
  </si>
  <si>
    <t>2021-09-01T00:00:00 AEST</t>
  </si>
  <si>
    <t>2021-10-01T00:00:00 AEST</t>
  </si>
  <si>
    <t>2021-11-01T00:00:00 AEDT</t>
  </si>
  <si>
    <t>2021-12-01T00:00:00 AEDT</t>
  </si>
  <si>
    <t>2022-01-01T00:00:00 AEDT</t>
  </si>
  <si>
    <t>2022-02-01T00:00:00 AEDT</t>
  </si>
  <si>
    <t>2022-03-01T00:00:00 AEDT</t>
  </si>
  <si>
    <t>2022-04-01T00:00:00 AEDT</t>
  </si>
  <si>
    <t>2022-05-01T00:00:00 AEST</t>
  </si>
  <si>
    <t>2022-06-01T00:00:00 AEST</t>
  </si>
  <si>
    <t>2022-07-01T00:00:00 AEST</t>
  </si>
  <si>
    <t>2022-08-01T00:00:00 AEST</t>
  </si>
  <si>
    <t>2022-08-11T23:59:59 AEST</t>
  </si>
  <si>
    <t>Envelope Volume by Status</t>
  </si>
  <si>
    <t>2022-09-01T00:00:00 AEST</t>
  </si>
  <si>
    <t>2022-10-01T00:00:00 AEST</t>
  </si>
  <si>
    <t>2023-02-01T00:00:00 AEDT</t>
  </si>
  <si>
    <t>2023-03-01T00:00:00 AEDT</t>
  </si>
  <si>
    <t>2023-04-01T00:00:00 AEDT</t>
  </si>
  <si>
    <t>2023-05-01T00:00:00 AEST</t>
  </si>
  <si>
    <t>2023-06-01T00:00:00 AEST</t>
  </si>
  <si>
    <t>2023-07-01T00:00:00 AEST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</si>
</sst>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</cellStyleXfs>
  <cellXfs count="10">
    <xf numFmtId="0" fontId="0" fillId="0" borderId="0" xfId="0"/>
    <xf numFmtId="15" fontId="0" fillId="0" borderId="0" xfId="0" applyNumberFormat="1"/>
    <xf numFmtId="0" fontId="1" fillId="2" borderId="0" xfId="1"/>
    <xf numFmtId="0" fontId="2" fillId="0" borderId="0" xfId="0" applyFont="1"/>
    <xf numFmtId="0" fontId="3" fillId="0" borderId="0" xfId="0" applyFont="1"/>
    <xf numFmtId="17" fontId="0" fillId="0" borderId="0" xfId="0" applyNumberFormat="1"/>
    <xf numFmtId="0" fontId="5" fillId="0" borderId="1" xfId="3"/>
    <xf numFmtId="21" fontId="0" fillId="0" borderId="0" xfId="0" applyNumberFormat="1"/>
    <xf numFmtId="0" fontId="6" fillId="0" borderId="2" xfId="4"/>
    <xf numFmtId="0" fontId="4" fillId="0" borderId="0" xfId="2" applyAlignment="1">
      <alignment horizontal="center"/>
    </xf>
  </cellXfs>
  <cellStyles count="5">
    <cellStyle name="Good" xfId="1" builtinId="26"/>
    <cellStyle name="Heading 3" xfId="3" builtinId="18"/>
    <cellStyle name="Normal" xfId="0" builtinId="0"/>
    <cellStyle name="Title" xfId="2" builtinId="15"/>
    <cellStyle name="Total" xfId="4" builtinId="2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Envelope Usage and Balance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ReportByEnvelopeVolume!$C$4</c:f>
              <c:strCache>
                <c:ptCount val="1"/>
                <c:pt idx="0">
                  <c:v>Usage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ReportByEnvelopeVolume!$A$5:$A$28</c:f>
              <c:numCache>
                <c:formatCode>d\-mmm\-yy</c:formatCode>
                <c:ptCount val="24"/>
                <c:pt idx="0">
                  <c:v>44044</c:v>
                </c:pt>
                <c:pt idx="1">
                  <c:v>44075</c:v>
                </c:pt>
                <c:pt idx="2">
                  <c:v>44105</c:v>
                </c:pt>
                <c:pt idx="3">
                  <c:v>44136</c:v>
                </c:pt>
                <c:pt idx="4">
                  <c:v>44166</c:v>
                </c:pt>
                <c:pt idx="5">
                  <c:v>44197</c:v>
                </c:pt>
                <c:pt idx="6">
                  <c:v>44228</c:v>
                </c:pt>
                <c:pt idx="7">
                  <c:v>44256</c:v>
                </c:pt>
                <c:pt idx="8">
                  <c:v>44287</c:v>
                </c:pt>
                <c:pt idx="9">
                  <c:v>44317</c:v>
                </c:pt>
                <c:pt idx="10">
                  <c:v>44348</c:v>
                </c:pt>
                <c:pt idx="11">
                  <c:v>44378</c:v>
                </c:pt>
                <c:pt idx="12">
                  <c:v>44409</c:v>
                </c:pt>
                <c:pt idx="13">
                  <c:v>44440</c:v>
                </c:pt>
                <c:pt idx="14">
                  <c:v>44470</c:v>
                </c:pt>
                <c:pt idx="15">
                  <c:v>44501</c:v>
                </c:pt>
                <c:pt idx="16">
                  <c:v>44531</c:v>
                </c:pt>
                <c:pt idx="17">
                  <c:v>44562</c:v>
                </c:pt>
                <c:pt idx="18">
                  <c:v>44593</c:v>
                </c:pt>
                <c:pt idx="19">
                  <c:v>44621</c:v>
                </c:pt>
                <c:pt idx="20">
                  <c:v>44652</c:v>
                </c:pt>
                <c:pt idx="21">
                  <c:v>44682</c:v>
                </c:pt>
                <c:pt idx="22">
                  <c:v>44713</c:v>
                </c:pt>
                <c:pt idx="23">
                  <c:v>44743</c:v>
                </c:pt>
              </c:numCache>
            </c:numRef>
          </c:cat>
          <c:val>
            <c:numRef>
              <c:f>ReportByEnvelopeVolume!$C$5:$C$28</c:f>
              <c:numCache>
                <c:formatCode>General</c:formatCode>
                <c:ptCount val="24"/>
                <c:pt idx="0">
                  <c:v>358</c:v>
                </c:pt>
                <c:pt idx="1">
                  <c:v>366</c:v>
                </c:pt>
                <c:pt idx="2">
                  <c:v>457</c:v>
                </c:pt>
                <c:pt idx="3">
                  <c:v>345</c:v>
                </c:pt>
                <c:pt idx="4">
                  <c:v>625</c:v>
                </c:pt>
                <c:pt idx="5">
                  <c:v>389</c:v>
                </c:pt>
                <c:pt idx="6">
                  <c:v>419</c:v>
                </c:pt>
                <c:pt idx="7">
                  <c:v>339</c:v>
                </c:pt>
                <c:pt idx="8">
                  <c:v>589</c:v>
                </c:pt>
                <c:pt idx="9">
                  <c:v>419</c:v>
                </c:pt>
                <c:pt idx="10">
                  <c:v>661</c:v>
                </c:pt>
                <c:pt idx="11">
                  <c:v>594</c:v>
                </c:pt>
                <c:pt idx="12">
                  <c:v>519</c:v>
                </c:pt>
                <c:pt idx="13">
                  <c:v>509</c:v>
                </c:pt>
                <c:pt idx="14">
                  <c:v>565</c:v>
                </c:pt>
                <c:pt idx="15">
                  <c:v>412</c:v>
                </c:pt>
                <c:pt idx="16">
                  <c:v>551</c:v>
                </c:pt>
                <c:pt idx="17">
                  <c:v>342</c:v>
                </c:pt>
                <c:pt idx="18">
                  <c:v>532</c:v>
                </c:pt>
                <c:pt idx="19">
                  <c:v>738</c:v>
                </c:pt>
                <c:pt idx="20">
                  <c:v>566</c:v>
                </c:pt>
                <c:pt idx="21">
                  <c:v>617</c:v>
                </c:pt>
                <c:pt idx="22">
                  <c:v>619</c:v>
                </c:pt>
                <c:pt idx="23">
                  <c:v>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C-4D04-9BB8-A6C76F4F80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92846008"/>
        <c:axId val="1192846664"/>
      </c:barChart>
      <c:lineChart>
        <c:grouping val="standard"/>
        <c:varyColors val="0"/>
        <c:ser>
          <c:idx val="1"/>
          <c:order val="1"/>
          <c:tx>
            <c:strRef>
              <c:f>ReportByEnvelopeVolume!$E$4</c:f>
              <c:strCache>
                <c:ptCount val="1"/>
                <c:pt idx="0">
                  <c:v>Envelope Balance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ReportByEnvelopeVolume!$A$5:$A$28</c:f>
              <c:numCache>
                <c:formatCode>d\-mmm\-yy</c:formatCode>
                <c:ptCount val="24"/>
                <c:pt idx="0">
                  <c:v>44044</c:v>
                </c:pt>
                <c:pt idx="1">
                  <c:v>44075</c:v>
                </c:pt>
                <c:pt idx="2">
                  <c:v>44105</c:v>
                </c:pt>
                <c:pt idx="3">
                  <c:v>44136</c:v>
                </c:pt>
                <c:pt idx="4">
                  <c:v>44166</c:v>
                </c:pt>
                <c:pt idx="5">
                  <c:v>44197</c:v>
                </c:pt>
                <c:pt idx="6">
                  <c:v>44228</c:v>
                </c:pt>
                <c:pt idx="7">
                  <c:v>44256</c:v>
                </c:pt>
                <c:pt idx="8">
                  <c:v>44287</c:v>
                </c:pt>
                <c:pt idx="9">
                  <c:v>44317</c:v>
                </c:pt>
                <c:pt idx="10">
                  <c:v>44348</c:v>
                </c:pt>
                <c:pt idx="11">
                  <c:v>44378</c:v>
                </c:pt>
                <c:pt idx="12">
                  <c:v>44409</c:v>
                </c:pt>
                <c:pt idx="13">
                  <c:v>44440</c:v>
                </c:pt>
                <c:pt idx="14">
                  <c:v>44470</c:v>
                </c:pt>
                <c:pt idx="15">
                  <c:v>44501</c:v>
                </c:pt>
                <c:pt idx="16">
                  <c:v>44531</c:v>
                </c:pt>
                <c:pt idx="17">
                  <c:v>44562</c:v>
                </c:pt>
                <c:pt idx="18">
                  <c:v>44593</c:v>
                </c:pt>
                <c:pt idx="19">
                  <c:v>44621</c:v>
                </c:pt>
                <c:pt idx="20">
                  <c:v>44652</c:v>
                </c:pt>
                <c:pt idx="21">
                  <c:v>44682</c:v>
                </c:pt>
                <c:pt idx="22">
                  <c:v>44713</c:v>
                </c:pt>
                <c:pt idx="23">
                  <c:v>44743</c:v>
                </c:pt>
              </c:numCache>
            </c:numRef>
          </c:cat>
          <c:val>
            <c:numRef>
              <c:f>ReportByEnvelopeVolume!$E$5:$E$28</c:f>
              <c:numCache>
                <c:formatCode>General</c:formatCode>
                <c:ptCount val="24"/>
                <c:pt idx="0">
                  <c:v>9642</c:v>
                </c:pt>
                <c:pt idx="1">
                  <c:v>9276</c:v>
                </c:pt>
                <c:pt idx="2">
                  <c:v>9177</c:v>
                </c:pt>
                <c:pt idx="3">
                  <c:v>8832</c:v>
                </c:pt>
                <c:pt idx="4">
                  <c:v>8207</c:v>
                </c:pt>
                <c:pt idx="5">
                  <c:v>7818</c:v>
                </c:pt>
                <c:pt idx="6">
                  <c:v>7399</c:v>
                </c:pt>
                <c:pt idx="7">
                  <c:v>7060</c:v>
                </c:pt>
                <c:pt idx="8">
                  <c:v>6471</c:v>
                </c:pt>
                <c:pt idx="9">
                  <c:v>6052</c:v>
                </c:pt>
                <c:pt idx="10">
                  <c:v>5391</c:v>
                </c:pt>
                <c:pt idx="11">
                  <c:v>4797</c:v>
                </c:pt>
                <c:pt idx="12">
                  <c:v>4278</c:v>
                </c:pt>
                <c:pt idx="13">
                  <c:v>3769</c:v>
                </c:pt>
                <c:pt idx="14">
                  <c:v>3204</c:v>
                </c:pt>
                <c:pt idx="15">
                  <c:v>2792</c:v>
                </c:pt>
                <c:pt idx="16">
                  <c:v>2241</c:v>
                </c:pt>
                <c:pt idx="17">
                  <c:v>1899</c:v>
                </c:pt>
                <c:pt idx="18">
                  <c:v>1367</c:v>
                </c:pt>
                <c:pt idx="19">
                  <c:v>629</c:v>
                </c:pt>
                <c:pt idx="20">
                  <c:v>3563</c:v>
                </c:pt>
                <c:pt idx="21">
                  <c:v>2946</c:v>
                </c:pt>
                <c:pt idx="22">
                  <c:v>2327</c:v>
                </c:pt>
                <c:pt idx="23">
                  <c:v>1862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BC-4D04-9BB8-A6C76F4F80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92846008"/>
        <c:axId val="1192846664"/>
      </c:lineChart>
      <c:catAx>
        <c:axId val="1192846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Monthly cutoff 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846664"/>
        <c:crosses val="autoZero"/>
        <c:auto val="0"/>
        <c:lblAlgn val="ctr"/>
        <c:lblOffset val="100"/>
        <c:noMultiLvlLbl val="0"/>
      </c:catAx>
      <c:valAx>
        <c:axId val="119284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Number of envelopes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846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Envelope Balance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025631078167933E-2"/>
          <c:y val="0.1068106551475882"/>
          <c:w val="0.9200197232460624"/>
          <c:h val="0.78894667324251866"/>
        </c:manualLayout>
      </c:layout>
      <c:lineChart>
        <c:grouping val="standard"/>
        <c:varyColors val="0"/>
        <c:ser>
          <c:idx val="0"/>
          <c:order val="0"/>
          <c:tx>
            <c:strRef>
              <c:f>'AUG2020'!$E$3</c:f>
              <c:strCache>
                <c:ptCount val="1"/>
                <c:pt idx="0">
                  <c:v>Envelope Balance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'AUG2020'!$A$4:$A$14</c:f>
              <c:numCache>
                <c:formatCode>d\-mmm\-yy</c:formatCode>
                <c:ptCount val="11"/>
                <c:pt idx="0">
                  <c:v>44074</c:v>
                </c:pt>
                <c:pt idx="1">
                  <c:v>44104</c:v>
                </c:pt>
                <c:pt idx="2">
                  <c:v>44135</c:v>
                </c:pt>
                <c:pt idx="3">
                  <c:v>44144</c:v>
                </c:pt>
              </c:numCache>
            </c:numRef>
          </c:cat>
          <c:val>
            <c:numRef>
              <c:f>'AUG2020'!$E$4:$E$14</c:f>
              <c:numCache>
                <c:formatCode>General</c:formatCode>
                <c:ptCount val="11"/>
                <c:pt idx="0">
                  <c:v>9845</c:v>
                </c:pt>
                <c:pt idx="1">
                  <c:v>9485</c:v>
                </c:pt>
                <c:pt idx="2">
                  <c:v>9172</c:v>
                </c:pt>
                <c:pt idx="3">
                  <c:v>9124</c:v>
                </c:pt>
                <c:pt idx="4">
                  <c:v>9124</c:v>
                </c:pt>
                <c:pt idx="5">
                  <c:v>9124</c:v>
                </c:pt>
                <c:pt idx="6">
                  <c:v>9124</c:v>
                </c:pt>
                <c:pt idx="7">
                  <c:v>9124</c:v>
                </c:pt>
                <c:pt idx="8">
                  <c:v>9124</c:v>
                </c:pt>
                <c:pt idx="9">
                  <c:v>9124</c:v>
                </c:pt>
                <c:pt idx="10">
                  <c:v>9124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B4-4245-B841-7DE0BAD2AFB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62262640"/>
        <c:axId val="362260016"/>
      </c:lineChart>
      <c:catAx>
        <c:axId val="362262640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260016"/>
        <c:crosses val="autoZero"/>
        <c:auto val="0"/>
        <c:lblAlgn val="ctr"/>
        <c:lblOffset val="100"/>
        <c:noMultiLvlLbl val="0"/>
      </c:catAx>
      <c:valAx>
        <c:axId val="3622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26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Envelope Usage and Balance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'AUG2020'!$C$3</c:f>
              <c:strCache>
                <c:ptCount val="1"/>
                <c:pt idx="0">
                  <c:v>Usage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'AUG2020'!$A$4:$A$17</c:f>
              <c:numCache>
                <c:formatCode>d\-mmm\-yy</c:formatCode>
                <c:ptCount val="14"/>
                <c:pt idx="0">
                  <c:v>44074</c:v>
                </c:pt>
                <c:pt idx="1">
                  <c:v>44104</c:v>
                </c:pt>
                <c:pt idx="2">
                  <c:v>44135</c:v>
                </c:pt>
                <c:pt idx="3">
                  <c:v>44144</c:v>
                </c:pt>
              </c:numCache>
            </c:numRef>
          </c:cat>
          <c:val>
            <c:numRef>
              <c:f>'AUG2020'!$C$4:$C$17</c:f>
              <c:numCache>
                <c:formatCode>General</c:formatCode>
                <c:ptCount val="14"/>
                <c:pt idx="0">
                  <c:v>155</c:v>
                </c:pt>
                <c:pt idx="1">
                  <c:v>360</c:v>
                </c:pt>
                <c:pt idx="2">
                  <c:v>468</c:v>
                </c:pt>
                <c:pt idx="3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6-44A3-A691-510B03F2CE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92846008"/>
        <c:axId val="1192846664"/>
      </c:barChart>
      <c:lineChart>
        <c:grouping val="standard"/>
        <c:varyColors val="0"/>
        <c:ser>
          <c:idx val="1"/>
          <c:order val="1"/>
          <c:tx>
            <c:strRef>
              <c:f>'AUG2020'!$E$3</c:f>
              <c:strCache>
                <c:ptCount val="1"/>
                <c:pt idx="0">
                  <c:v>Envelope Balance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'AUG2020'!$A$4:$A$17</c:f>
              <c:numCache>
                <c:formatCode>d\-mmm\-yy</c:formatCode>
                <c:ptCount val="14"/>
                <c:pt idx="0">
                  <c:v>44074</c:v>
                </c:pt>
                <c:pt idx="1">
                  <c:v>44104</c:v>
                </c:pt>
                <c:pt idx="2">
                  <c:v>44135</c:v>
                </c:pt>
                <c:pt idx="3">
                  <c:v>44144</c:v>
                </c:pt>
              </c:numCache>
            </c:numRef>
          </c:cat>
          <c:val>
            <c:numRef>
              <c:f>'AUG2020'!$E$4:$E$17</c:f>
              <c:numCache>
                <c:formatCode>General</c:formatCode>
                <c:ptCount val="14"/>
                <c:pt idx="0">
                  <c:v>9845</c:v>
                </c:pt>
                <c:pt idx="1">
                  <c:v>9485</c:v>
                </c:pt>
                <c:pt idx="2">
                  <c:v>9172</c:v>
                </c:pt>
                <c:pt idx="3">
                  <c:v>9124</c:v>
                </c:pt>
                <c:pt idx="4">
                  <c:v>9124</c:v>
                </c:pt>
                <c:pt idx="5">
                  <c:v>9124</c:v>
                </c:pt>
                <c:pt idx="6">
                  <c:v>9124</c:v>
                </c:pt>
                <c:pt idx="7">
                  <c:v>9124</c:v>
                </c:pt>
                <c:pt idx="8">
                  <c:v>9124</c:v>
                </c:pt>
                <c:pt idx="9">
                  <c:v>9124</c:v>
                </c:pt>
                <c:pt idx="10">
                  <c:v>9124</c:v>
                </c:pt>
                <c:pt idx="11">
                  <c:v>9124</c:v>
                </c:pt>
                <c:pt idx="12">
                  <c:v>9124</c:v>
                </c:pt>
                <c:pt idx="13">
                  <c:v>9124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E6-44A3-A691-510B03F2CE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92846008"/>
        <c:axId val="1192846664"/>
      </c:lineChart>
      <c:catAx>
        <c:axId val="1192846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Monthly cutoff 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846664"/>
        <c:crosses val="autoZero"/>
        <c:auto val="0"/>
        <c:lblAlgn val="ctr"/>
        <c:lblOffset val="100"/>
        <c:noMultiLvlLbl val="0"/>
      </c:catAx>
      <c:valAx>
        <c:axId val="119284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Number of envelopes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846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Envelope Balance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025631078167933E-2"/>
          <c:y val="0.1068106551475882"/>
          <c:w val="0.9200197232460624"/>
          <c:h val="0.78894667324251866"/>
        </c:manualLayout>
      </c:layout>
      <c:lineChart>
        <c:grouping val="standar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Envelope Balance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Sheet1!$A$4:$A$14</c:f>
              <c:numCache>
                <c:formatCode>d\-mmm\-yy</c:formatCode>
                <c:ptCount val="11"/>
                <c:pt idx="0">
                  <c:v>43511</c:v>
                </c:pt>
                <c:pt idx="1">
                  <c:v>43539</c:v>
                </c:pt>
                <c:pt idx="2">
                  <c:v>43570</c:v>
                </c:pt>
                <c:pt idx="3">
                  <c:v>43600</c:v>
                </c:pt>
                <c:pt idx="4">
                  <c:v>43631</c:v>
                </c:pt>
                <c:pt idx="5">
                  <c:v>43661</c:v>
                </c:pt>
                <c:pt idx="6">
                  <c:v>43692</c:v>
                </c:pt>
                <c:pt idx="7">
                  <c:v>43723</c:v>
                </c:pt>
                <c:pt idx="8">
                  <c:v>43753</c:v>
                </c:pt>
                <c:pt idx="9">
                  <c:v>43784</c:v>
                </c:pt>
                <c:pt idx="10">
                  <c:v>43814</c:v>
                </c:pt>
              </c:numCache>
            </c:numRef>
          </c:cat>
          <c:val>
            <c:numRef>
              <c:f>Sheet1!$E$4:$E$14</c:f>
              <c:numCache>
                <c:formatCode>General</c:formatCode>
                <c:ptCount val="11"/>
                <c:pt idx="0">
                  <c:v>3000</c:v>
                </c:pt>
                <c:pt idx="1">
                  <c:v>3000</c:v>
                </c:pt>
                <c:pt idx="2">
                  <c:v>2998</c:v>
                </c:pt>
                <c:pt idx="3">
                  <c:v>2970</c:v>
                </c:pt>
                <c:pt idx="4">
                  <c:v>2912</c:v>
                </c:pt>
                <c:pt idx="5">
                  <c:v>2865</c:v>
                </c:pt>
                <c:pt idx="6">
                  <c:v>2770</c:v>
                </c:pt>
                <c:pt idx="7">
                  <c:v>2517</c:v>
                </c:pt>
                <c:pt idx="8">
                  <c:v>1851</c:v>
                </c:pt>
                <c:pt idx="9">
                  <c:v>1457</c:v>
                </c:pt>
                <c:pt idx="10">
                  <c:v>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1C-4A51-BAB3-C6B7DDAD302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62262640"/>
        <c:axId val="362260016"/>
      </c:lineChart>
      <c:catAx>
        <c:axId val="362262640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260016"/>
        <c:crosses val="autoZero"/>
        <c:auto val="0"/>
        <c:lblAlgn val="ctr"/>
        <c:lblOffset val="100"/>
        <c:noMultiLvlLbl val="0"/>
      </c:catAx>
      <c:valAx>
        <c:axId val="36226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26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Envelope Usage and Balance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Usage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Sheet1!$A$4:$A$17</c:f>
              <c:numCache>
                <c:formatCode>d\-mmm\-yy</c:formatCode>
                <c:ptCount val="14"/>
                <c:pt idx="0">
                  <c:v>43511</c:v>
                </c:pt>
                <c:pt idx="1">
                  <c:v>43539</c:v>
                </c:pt>
                <c:pt idx="2">
                  <c:v>43570</c:v>
                </c:pt>
                <c:pt idx="3">
                  <c:v>43600</c:v>
                </c:pt>
                <c:pt idx="4">
                  <c:v>43631</c:v>
                </c:pt>
                <c:pt idx="5">
                  <c:v>43661</c:v>
                </c:pt>
                <c:pt idx="6">
                  <c:v>43692</c:v>
                </c:pt>
                <c:pt idx="7">
                  <c:v>43723</c:v>
                </c:pt>
                <c:pt idx="8">
                  <c:v>43753</c:v>
                </c:pt>
                <c:pt idx="9">
                  <c:v>43784</c:v>
                </c:pt>
                <c:pt idx="10">
                  <c:v>43814</c:v>
                </c:pt>
                <c:pt idx="11">
                  <c:v>43845</c:v>
                </c:pt>
                <c:pt idx="12">
                  <c:v>43876</c:v>
                </c:pt>
                <c:pt idx="13">
                  <c:v>43905</c:v>
                </c:pt>
              </c:numCache>
            </c:numRef>
          </c:cat>
          <c:val>
            <c:numRef>
              <c:f>Sheet1!$C$4:$C$17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28</c:v>
                </c:pt>
                <c:pt idx="4">
                  <c:v>58</c:v>
                </c:pt>
                <c:pt idx="5">
                  <c:v>47</c:v>
                </c:pt>
                <c:pt idx="6">
                  <c:v>95</c:v>
                </c:pt>
                <c:pt idx="7">
                  <c:v>253</c:v>
                </c:pt>
                <c:pt idx="8">
                  <c:v>666</c:v>
                </c:pt>
                <c:pt idx="9">
                  <c:v>394</c:v>
                </c:pt>
                <c:pt idx="10">
                  <c:v>469</c:v>
                </c:pt>
                <c:pt idx="11">
                  <c:v>137</c:v>
                </c:pt>
                <c:pt idx="12">
                  <c:v>232</c:v>
                </c:pt>
                <c:pt idx="13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1-45C5-9F32-866D19A991C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92846008"/>
        <c:axId val="1192846664"/>
      </c:barChart>
      <c:lineChart>
        <c:grouping val="standard"/>
        <c:varyColors val="0"/>
        <c:ser>
          <c:idx val="1"/>
          <c:order val="1"/>
          <c:tx>
            <c:strRef>
              <c:f>Sheet1!$E$3</c:f>
              <c:strCache>
                <c:ptCount val="1"/>
                <c:pt idx="0">
                  <c:v>Envelope Balance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Sheet1!$A$4:$A$17</c:f>
              <c:numCache>
                <c:formatCode>d\-mmm\-yy</c:formatCode>
                <c:ptCount val="14"/>
                <c:pt idx="0">
                  <c:v>43511</c:v>
                </c:pt>
                <c:pt idx="1">
                  <c:v>43539</c:v>
                </c:pt>
                <c:pt idx="2">
                  <c:v>43570</c:v>
                </c:pt>
                <c:pt idx="3">
                  <c:v>43600</c:v>
                </c:pt>
                <c:pt idx="4">
                  <c:v>43631</c:v>
                </c:pt>
                <c:pt idx="5">
                  <c:v>43661</c:v>
                </c:pt>
                <c:pt idx="6">
                  <c:v>43692</c:v>
                </c:pt>
                <c:pt idx="7">
                  <c:v>43723</c:v>
                </c:pt>
                <c:pt idx="8">
                  <c:v>43753</c:v>
                </c:pt>
                <c:pt idx="9">
                  <c:v>43784</c:v>
                </c:pt>
                <c:pt idx="10">
                  <c:v>43814</c:v>
                </c:pt>
                <c:pt idx="11">
                  <c:v>43845</c:v>
                </c:pt>
                <c:pt idx="12">
                  <c:v>43876</c:v>
                </c:pt>
                <c:pt idx="13">
                  <c:v>43905</c:v>
                </c:pt>
              </c:numCache>
            </c:numRef>
          </c:cat>
          <c:val>
            <c:numRef>
              <c:f>Sheet1!$E$4:$E$17</c:f>
              <c:numCache>
                <c:formatCode>General</c:formatCode>
                <c:ptCount val="14"/>
                <c:pt idx="0">
                  <c:v>3000</c:v>
                </c:pt>
                <c:pt idx="1">
                  <c:v>3000</c:v>
                </c:pt>
                <c:pt idx="2">
                  <c:v>2998</c:v>
                </c:pt>
                <c:pt idx="3">
                  <c:v>2970</c:v>
                </c:pt>
                <c:pt idx="4">
                  <c:v>2912</c:v>
                </c:pt>
                <c:pt idx="5">
                  <c:v>2865</c:v>
                </c:pt>
                <c:pt idx="6">
                  <c:v>2770</c:v>
                </c:pt>
                <c:pt idx="7">
                  <c:v>2517</c:v>
                </c:pt>
                <c:pt idx="8">
                  <c:v>1851</c:v>
                </c:pt>
                <c:pt idx="9">
                  <c:v>1457</c:v>
                </c:pt>
                <c:pt idx="10">
                  <c:v>988</c:v>
                </c:pt>
                <c:pt idx="11">
                  <c:v>851</c:v>
                </c:pt>
                <c:pt idx="12">
                  <c:v>619</c:v>
                </c:pt>
                <c:pt idx="13">
                  <c:v>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F1-45C5-9F32-866D19A991C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92846008"/>
        <c:axId val="1192846664"/>
      </c:lineChart>
      <c:catAx>
        <c:axId val="1192846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Monthly cutoff 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846664"/>
        <c:crosses val="autoZero"/>
        <c:auto val="0"/>
        <c:lblAlgn val="ctr"/>
        <c:lblOffset val="100"/>
        <c:noMultiLvlLbl val="0"/>
      </c:catAx>
      <c:valAx>
        <c:axId val="1192846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Number of envelopes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846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33335</xdr:colOff>
      <xdr:row>3</xdr:row>
      <xdr:rowOff>9524</xdr:rowOff>
    </xdr:from>
    <xdr:to>
      <xdr:col>20</xdr:col>
      <xdr:colOff>9524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EEF060-95B3-4051-8429-85563416C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600074</xdr:colOff>
      <xdr:row>2</xdr:row>
      <xdr:rowOff>47624</xdr:rowOff>
    </xdr:from>
    <xdr:to>
      <xdr:col>18</xdr:col>
      <xdr:colOff>285750</xdr:colOff>
      <xdr:row>25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8500C7-17AF-4AFB-8CA8-2DE121DC63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14286</xdr:colOff>
      <xdr:row>26</xdr:row>
      <xdr:rowOff>123825</xdr:rowOff>
    </xdr:from>
    <xdr:to>
      <xdr:col>18</xdr:col>
      <xdr:colOff>304799</xdr:colOff>
      <xdr:row>47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6F90EB-EDA6-4260-810F-8F20AB5B4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600074</xdr:colOff>
      <xdr:row>2</xdr:row>
      <xdr:rowOff>47624</xdr:rowOff>
    </xdr:from>
    <xdr:to>
      <xdr:col>18</xdr:col>
      <xdr:colOff>285750</xdr:colOff>
      <xdr:row>25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0CCD67-40D7-44A7-B35C-08007AD7C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14286</xdr:colOff>
      <xdr:row>26</xdr:row>
      <xdr:rowOff>123825</xdr:rowOff>
    </xdr:from>
    <xdr:to>
      <xdr:col>18</xdr:col>
      <xdr:colOff>304799</xdr:colOff>
      <xdr:row>47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715D9E-9F18-4C4C-9AC2-43D1AA360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6B51-B7D5-4256-8EA1-A6C000EA25BA}">
  <dimension ref="A1:E44"/>
  <sheetViews>
    <sheetView tabSelected="1" workbookViewId="0">
      <selection activeCell="J40" sqref="J40"/>
    </sheetView>
  </sheetViews>
  <sheetFormatPr defaultRowHeight="15" x14ac:dyDescent="0.25"/>
  <cols>
    <col min="1" max="1" width="20" bestFit="1" customWidth="1"/>
    <col min="2" max="2" width="14.42578125" customWidth="1"/>
    <col min="3" max="3" width="9.28515625" customWidth="1"/>
    <col min="4" max="4" width="12" bestFit="1" customWidth="1"/>
    <col min="5" max="5" width="16.7109375" bestFit="1" customWidth="1"/>
  </cols>
  <sheetData>
    <row r="1" spans="1:5" x14ac:dyDescent="0.25">
      <c r="A1" t="s">
        <v>0</v>
      </c>
      <c r="B1">
        <f>10000</f>
        <v>10000</v>
      </c>
      <c r="C1" s="5">
        <v>44044</v>
      </c>
      <c r="D1" t="s">
        <v>1</v>
      </c>
      <c r="E1" s="2" t="s">
        <v>2</v>
      </c>
    </row>
    <row r="2" spans="1:5" x14ac:dyDescent="0.25">
      <c r="B2">
        <v>3500</v>
      </c>
      <c r="C2" s="5">
        <v>44652</v>
      </c>
      <c r="D2" t="s">
        <v>37</v>
      </c>
      <c r="E2" s="2"/>
    </row>
    <row r="3" spans="1:5" x14ac:dyDescent="0.25">
      <c r="A3" t="s">
        <v>3</v>
      </c>
    </row>
    <row r="4" spans="1:5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</row>
    <row r="5" spans="1:5" x14ac:dyDescent="0.25">
      <c r="A5" s="1">
        <v>44044</v>
      </c>
      <c r="B5" s="1">
        <v>44075</v>
      </c>
      <c r="C5">
        <v>358</v>
      </c>
      <c r="E5">
        <f>$B$1-$C5</f>
        <v>9642</v>
      </c>
    </row>
    <row r="6" spans="1:5" x14ac:dyDescent="0.25">
      <c r="A6" s="1">
        <v>44075</v>
      </c>
      <c r="B6" s="1">
        <v>44105</v>
      </c>
      <c r="C6">
        <v>366</v>
      </c>
      <c r="D6">
        <f>C5+C6</f>
        <v>724</v>
      </c>
      <c r="E6">
        <f t="shared" ref="E6:E24" si="0">$B$1-D6</f>
        <v>9276</v>
      </c>
    </row>
    <row r="7" spans="1:5" x14ac:dyDescent="0.25">
      <c r="A7" s="1">
        <v>44105</v>
      </c>
      <c r="B7" s="1">
        <v>44136</v>
      </c>
      <c r="C7">
        <v>457</v>
      </c>
      <c r="D7">
        <f>C6+C7</f>
        <v>823</v>
      </c>
      <c r="E7">
        <f t="shared" si="0"/>
        <v>9177</v>
      </c>
    </row>
    <row r="8" spans="1:5" x14ac:dyDescent="0.25">
      <c r="A8" s="1">
        <v>44136</v>
      </c>
      <c r="B8" s="1">
        <v>44166</v>
      </c>
      <c r="C8">
        <v>345</v>
      </c>
      <c r="D8">
        <f>C8+D7</f>
        <v>1168</v>
      </c>
      <c r="E8">
        <f t="shared" si="0"/>
        <v>8832</v>
      </c>
    </row>
    <row r="9" spans="1:5" x14ac:dyDescent="0.25">
      <c r="A9" s="1">
        <v>44166</v>
      </c>
      <c r="B9" s="1">
        <v>44197</v>
      </c>
      <c r="C9">
        <v>625</v>
      </c>
      <c r="D9">
        <f>C9+D8</f>
        <v>1793</v>
      </c>
      <c r="E9">
        <f t="shared" si="0"/>
        <v>8207</v>
      </c>
    </row>
    <row r="10" spans="1:5" x14ac:dyDescent="0.25">
      <c r="A10" s="1">
        <v>44197</v>
      </c>
      <c r="B10" s="1">
        <v>44228</v>
      </c>
      <c r="C10">
        <v>389</v>
      </c>
      <c r="D10">
        <f t="shared" ref="D10:D36" si="1">C10+D9</f>
        <v>2182</v>
      </c>
      <c r="E10">
        <f t="shared" si="0"/>
        <v>7818</v>
      </c>
    </row>
    <row r="11" spans="1:5" x14ac:dyDescent="0.25">
      <c r="A11" s="1">
        <v>44228</v>
      </c>
      <c r="B11" s="1">
        <v>44256</v>
      </c>
      <c r="C11">
        <v>419</v>
      </c>
      <c r="D11">
        <f t="shared" si="1"/>
        <v>2601</v>
      </c>
      <c r="E11">
        <f t="shared" si="0"/>
        <v>7399</v>
      </c>
    </row>
    <row r="12" spans="1:5" x14ac:dyDescent="0.25">
      <c r="A12" s="1">
        <v>44256</v>
      </c>
      <c r="B12" s="1">
        <v>44287</v>
      </c>
      <c r="C12">
        <v>339</v>
      </c>
      <c r="D12">
        <f t="shared" si="1"/>
        <v>2940</v>
      </c>
      <c r="E12">
        <f t="shared" si="0"/>
        <v>7060</v>
      </c>
    </row>
    <row r="13" spans="1:5" x14ac:dyDescent="0.25">
      <c r="A13" s="1">
        <v>44287</v>
      </c>
      <c r="B13" s="1">
        <v>44317</v>
      </c>
      <c r="C13">
        <v>589</v>
      </c>
      <c r="D13">
        <f t="shared" si="1"/>
        <v>3529</v>
      </c>
      <c r="E13">
        <f t="shared" si="0"/>
        <v>6471</v>
      </c>
    </row>
    <row r="14" spans="1:5" x14ac:dyDescent="0.25">
      <c r="A14" s="1">
        <v>44317</v>
      </c>
      <c r="B14" s="1">
        <v>44348</v>
      </c>
      <c r="C14">
        <v>419</v>
      </c>
      <c r="D14">
        <f t="shared" si="1"/>
        <v>3948</v>
      </c>
      <c r="E14">
        <f t="shared" si="0"/>
        <v>6052</v>
      </c>
    </row>
    <row r="15" spans="1:5" x14ac:dyDescent="0.25">
      <c r="A15" s="1">
        <v>44348</v>
      </c>
      <c r="B15" s="1">
        <v>44378</v>
      </c>
      <c r="C15">
        <v>661</v>
      </c>
      <c r="D15">
        <f t="shared" si="1"/>
        <v>4609</v>
      </c>
      <c r="E15">
        <f t="shared" si="0"/>
        <v>5391</v>
      </c>
    </row>
    <row r="16" spans="1:5" x14ac:dyDescent="0.25">
      <c r="A16" s="1">
        <v>44378</v>
      </c>
      <c r="B16" s="1">
        <v>44409</v>
      </c>
      <c r="C16">
        <v>594</v>
      </c>
      <c r="D16">
        <f t="shared" si="1"/>
        <v>5203</v>
      </c>
      <c r="E16">
        <f t="shared" si="0"/>
        <v>4797</v>
      </c>
    </row>
    <row r="17" spans="1:5" x14ac:dyDescent="0.25">
      <c r="A17" s="1">
        <v>44409</v>
      </c>
      <c r="B17" s="1">
        <v>44440</v>
      </c>
      <c r="C17">
        <v>519</v>
      </c>
      <c r="D17">
        <f t="shared" si="1"/>
        <v>5722</v>
      </c>
      <c r="E17">
        <f t="shared" si="0"/>
        <v>4278</v>
      </c>
    </row>
    <row r="18" spans="1:5" x14ac:dyDescent="0.25">
      <c r="A18" s="1">
        <v>44440</v>
      </c>
      <c r="B18" s="1">
        <v>44470</v>
      </c>
      <c r="C18">
        <v>509</v>
      </c>
      <c r="D18">
        <f t="shared" si="1"/>
        <v>6231</v>
      </c>
      <c r="E18">
        <f t="shared" si="0"/>
        <v>3769</v>
      </c>
    </row>
    <row r="19" spans="1:5" x14ac:dyDescent="0.25">
      <c r="A19" s="1">
        <v>44470</v>
      </c>
      <c r="B19" s="1">
        <v>44501</v>
      </c>
      <c r="C19">
        <v>565</v>
      </c>
      <c r="D19">
        <f t="shared" si="1"/>
        <v>6796</v>
      </c>
      <c r="E19">
        <f t="shared" si="0"/>
        <v>3204</v>
      </c>
    </row>
    <row r="20" spans="1:5" x14ac:dyDescent="0.25">
      <c r="A20" s="1">
        <v>44501</v>
      </c>
      <c r="B20" s="1">
        <v>44531</v>
      </c>
      <c r="C20">
        <v>412</v>
      </c>
      <c r="D20">
        <f t="shared" si="1"/>
        <v>7208</v>
      </c>
      <c r="E20">
        <f t="shared" si="0"/>
        <v>2792</v>
      </c>
    </row>
    <row r="21" spans="1:5" x14ac:dyDescent="0.25">
      <c r="A21" s="1">
        <v>44531</v>
      </c>
      <c r="B21" s="1">
        <v>44562</v>
      </c>
      <c r="C21">
        <v>551</v>
      </c>
      <c r="D21">
        <f t="shared" si="1"/>
        <v>7759</v>
      </c>
      <c r="E21">
        <f t="shared" si="0"/>
        <v>2241</v>
      </c>
    </row>
    <row r="22" spans="1:5" x14ac:dyDescent="0.25">
      <c r="A22" s="1">
        <v>44562</v>
      </c>
      <c r="B22" s="1">
        <v>44593</v>
      </c>
      <c r="C22">
        <v>342</v>
      </c>
      <c r="D22">
        <f t="shared" si="1"/>
        <v>8101</v>
      </c>
      <c r="E22">
        <f t="shared" si="0"/>
        <v>1899</v>
      </c>
    </row>
    <row r="23" spans="1:5" x14ac:dyDescent="0.25">
      <c r="A23" s="1">
        <v>44593</v>
      </c>
      <c r="B23" s="1">
        <v>44621</v>
      </c>
      <c r="C23">
        <v>532</v>
      </c>
      <c r="D23">
        <f t="shared" si="1"/>
        <v>8633</v>
      </c>
      <c r="E23">
        <f t="shared" si="0"/>
        <v>1367</v>
      </c>
    </row>
    <row r="24" spans="1:5" x14ac:dyDescent="0.25">
      <c r="A24" s="1">
        <v>44621</v>
      </c>
      <c r="B24" s="1">
        <v>44652</v>
      </c>
      <c r="C24" s="4">
        <v>738</v>
      </c>
      <c r="D24">
        <f t="shared" si="1"/>
        <v>9371</v>
      </c>
      <c r="E24">
        <f t="shared" si="0"/>
        <v>629</v>
      </c>
    </row>
    <row r="25" spans="1:5" x14ac:dyDescent="0.25">
      <c r="A25" s="1">
        <v>44652</v>
      </c>
      <c r="B25" s="1">
        <v>44682</v>
      </c>
      <c r="C25">
        <v>566</v>
      </c>
      <c r="D25">
        <f t="shared" si="1"/>
        <v>9937</v>
      </c>
      <c r="E25">
        <f>$B$1+$B$2-D25</f>
        <v>3563</v>
      </c>
    </row>
    <row r="26" spans="1:5" x14ac:dyDescent="0.25">
      <c r="A26" s="1">
        <v>44682</v>
      </c>
      <c r="B26" s="1">
        <v>44713</v>
      </c>
      <c r="C26">
        <v>617</v>
      </c>
      <c r="D26">
        <f t="shared" si="1"/>
        <v>10554</v>
      </c>
      <c r="E26">
        <f t="shared" ref="E26:E36" si="2">$B$1+$B$2-D26</f>
        <v>2946</v>
      </c>
    </row>
    <row r="27" spans="1:5" x14ac:dyDescent="0.25">
      <c r="A27" s="1">
        <v>44713</v>
      </c>
      <c r="B27" s="1">
        <v>44743</v>
      </c>
      <c r="C27">
        <v>619</v>
      </c>
      <c r="D27">
        <f t="shared" si="1"/>
        <v>11173</v>
      </c>
      <c r="E27">
        <f t="shared" si="2"/>
        <v>2327</v>
      </c>
    </row>
    <row r="28" spans="1:5" x14ac:dyDescent="0.25">
      <c r="A28" s="1">
        <v>44743</v>
      </c>
      <c r="B28" s="1">
        <v>44774</v>
      </c>
      <c r="C28">
        <v>465</v>
      </c>
      <c r="D28">
        <f t="shared" si="1"/>
        <v>11638</v>
      </c>
      <c r="E28">
        <f t="shared" si="2"/>
        <v>1862</v>
      </c>
    </row>
    <row r="29" spans="1:5" x14ac:dyDescent="0.25">
      <c r="A29" s="1">
        <v>44774</v>
      </c>
      <c r="B29" s="1">
        <v>44805</v>
      </c>
      <c r="C29">
        <v>516</v>
      </c>
      <c r="D29">
        <f t="shared" si="1"/>
        <v>12154</v>
      </c>
      <c r="E29">
        <f t="shared" si="2"/>
        <v>1346</v>
      </c>
    </row>
    <row r="30" spans="1:5" x14ac:dyDescent="0.25">
      <c r="A30" s="1">
        <v>44805</v>
      </c>
      <c r="B30" s="1">
        <v>44819</v>
      </c>
      <c r="C30">
        <v>125</v>
      </c>
      <c r="D30">
        <f t="shared" si="1"/>
        <v>12279</v>
      </c>
      <c r="E30">
        <f t="shared" si="2"/>
        <v>1221</v>
      </c>
    </row>
    <row r="31" spans="1:5" x14ac:dyDescent="0.25">
      <c r="A31" s="1">
        <v>44835</v>
      </c>
      <c r="B31" s="1">
        <v>44866</v>
      </c>
      <c r="C31">
        <v>0</v>
      </c>
      <c r="D31">
        <f t="shared" si="1"/>
        <v>12279</v>
      </c>
      <c r="E31">
        <f t="shared" si="2"/>
        <v>1221</v>
      </c>
    </row>
    <row r="32" spans="1:5" x14ac:dyDescent="0.25">
      <c r="A32" s="1">
        <v>44866</v>
      </c>
      <c r="B32" s="1">
        <v>44896</v>
      </c>
      <c r="D32">
        <f t="shared" si="1"/>
        <v>12279</v>
      </c>
      <c r="E32">
        <f t="shared" si="2"/>
        <v>1221</v>
      </c>
    </row>
    <row r="33" spans="1:5" x14ac:dyDescent="0.25">
      <c r="A33" s="1">
        <v>44896</v>
      </c>
      <c r="B33" s="1">
        <v>44927</v>
      </c>
      <c r="D33">
        <f t="shared" si="1"/>
        <v>12279</v>
      </c>
      <c r="E33">
        <f t="shared" si="2"/>
        <v>1221</v>
      </c>
    </row>
    <row r="34" spans="1:5" x14ac:dyDescent="0.25">
      <c r="A34" s="1">
        <v>44927</v>
      </c>
      <c r="B34" s="1">
        <v>44958</v>
      </c>
      <c r="D34">
        <f t="shared" si="1"/>
        <v>12279</v>
      </c>
      <c r="E34">
        <f t="shared" si="2"/>
        <v>1221</v>
      </c>
    </row>
    <row r="35" spans="1:5" x14ac:dyDescent="0.25">
      <c r="A35" s="1">
        <v>44958</v>
      </c>
      <c r="B35" s="1">
        <v>44986</v>
      </c>
      <c r="C35">
        <v>1</v>
      </c>
      <c r="D35">
        <f t="shared" si="1"/>
        <v>12280</v>
      </c>
      <c r="E35">
        <f t="shared" si="2"/>
        <v>1220</v>
      </c>
    </row>
    <row r="36" spans="1:5" x14ac:dyDescent="0.25">
      <c r="A36" s="1">
        <v>44986</v>
      </c>
      <c r="B36" s="1">
        <v>45017</v>
      </c>
      <c r="C36">
        <v>4</v>
      </c>
      <c r="D36">
        <f t="shared" si="1"/>
        <v>12284</v>
      </c>
      <c r="E36">
        <f t="shared" si="2"/>
        <v>1216</v>
      </c>
    </row>
    <row r="37" spans="1:5" x14ac:dyDescent="0.25">
      <c r="A37" s="1">
        <v>45017</v>
      </c>
      <c r="B37" s="1">
        <v>45047</v>
      </c>
      <c r="C37">
        <v>1</v>
      </c>
      <c r="D37">
        <f t="shared" ref="D37" si="3">C37+D36</f>
        <v>12285</v>
      </c>
      <c r="E37">
        <f t="shared" ref="E37" si="4">$B$1+$B$2-D37</f>
        <v>1215</v>
      </c>
    </row>
    <row r="38" spans="1:5" x14ac:dyDescent="0.25">
      <c r="A38" s="1"/>
      <c r="B38" s="1"/>
    </row>
    <row r="39" spans="1:5" x14ac:dyDescent="0.25">
      <c r="A39" s="1"/>
      <c r="B39" s="1"/>
    </row>
    <row r="40" spans="1:5" x14ac:dyDescent="0.25">
      <c r="A40" s="1"/>
      <c r="B40" t="s">
        <v>9</v>
      </c>
      <c r="C40">
        <f>AVERAGE(C5:C36)</f>
        <v>435.93103448275861</v>
      </c>
    </row>
    <row r="41" spans="1:5" x14ac:dyDescent="0.25">
      <c r="B41" t="s">
        <v>10</v>
      </c>
      <c r="C41">
        <f>SUM(C5:C36)</f>
        <v>12642</v>
      </c>
    </row>
    <row r="43" spans="1:5" x14ac:dyDescent="0.25">
      <c r="B43" s="3" t="s">
        <v>36</v>
      </c>
    </row>
    <row r="44" spans="1:5" x14ac:dyDescent="0.25">
      <c r="C44">
        <f>B1+B2-C41</f>
        <v>858</v>
      </c>
    </row>
  </sheetData>
  <pageMargins left="0.7" right="0.7" top="0.75" bottom="0.75" header="0.3" footer="0.3"/>
  <pageSetup orientation="portrait" r:id="rId1"/>
  <headerFooter>
    <oddFooter>&amp;C&amp;1#&amp;"Calibri"&amp;10&amp;KD89B2BConfidential - Company Proprietary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D853E-CAF0-44AC-8A64-454AD5B2E866}">
  <dimension ref="A1:H44"/>
  <sheetViews>
    <sheetView zoomScale="130" zoomScaleNormal="130" workbookViewId="0">
      <selection sqref="A1:H1"/>
    </sheetView>
  </sheetViews>
  <sheetFormatPr defaultRowHeight="15" x14ac:dyDescent="0.25"/>
  <cols>
    <col min="1" max="1" width="25.140625" bestFit="1" customWidth="1"/>
    <col min="2" max="2" width="24.140625" bestFit="1" customWidth="1"/>
    <col min="3" max="3" width="14.7109375" bestFit="1" customWidth="1"/>
    <col min="4" max="4" width="20.7109375" bestFit="1" customWidth="1"/>
    <col min="5" max="5" width="18.7109375" bestFit="1" customWidth="1"/>
    <col min="6" max="6" width="17.28515625" bestFit="1" customWidth="1"/>
    <col min="7" max="7" width="18.140625" customWidth="1"/>
    <col min="8" max="8" width="36.7109375" bestFit="1" customWidth="1"/>
  </cols>
  <sheetData>
    <row r="1" spans="1:8" ht="23.25" x14ac:dyDescent="0.35">
      <c r="A1" s="9" t="s">
        <v>86</v>
      </c>
      <c r="B1" s="9"/>
      <c r="C1" s="9"/>
      <c r="D1" s="9"/>
      <c r="E1" s="9"/>
      <c r="F1" s="9"/>
      <c r="G1" s="9"/>
      <c r="H1" s="9"/>
    </row>
    <row r="2" spans="1:8" ht="15.75" thickBot="1" x14ac:dyDescent="0.3">
      <c r="A2" s="6" t="s">
        <v>38</v>
      </c>
      <c r="B2" s="6" t="s">
        <v>5</v>
      </c>
      <c r="C2" s="6" t="s">
        <v>39</v>
      </c>
      <c r="D2" s="6" t="s">
        <v>40</v>
      </c>
      <c r="E2" s="6" t="s">
        <v>41</v>
      </c>
      <c r="F2" s="6" t="s">
        <v>42</v>
      </c>
      <c r="G2" s="6" t="s">
        <v>43</v>
      </c>
      <c r="H2" s="6" t="s">
        <v>44</v>
      </c>
    </row>
    <row r="3" spans="1:8" x14ac:dyDescent="0.25">
      <c r="A3" t="s">
        <v>45</v>
      </c>
      <c r="B3" t="s">
        <v>46</v>
      </c>
      <c r="C3">
        <v>81</v>
      </c>
      <c r="D3">
        <v>55</v>
      </c>
      <c r="E3">
        <v>12</v>
      </c>
      <c r="F3">
        <v>14</v>
      </c>
      <c r="G3">
        <f>C3-SUM(D3:F3)</f>
        <v>0</v>
      </c>
      <c r="H3" s="7">
        <v>4.7743055555555552E-2</v>
      </c>
    </row>
    <row r="4" spans="1:8" x14ac:dyDescent="0.25">
      <c r="A4" t="s">
        <v>46</v>
      </c>
      <c r="B4" t="s">
        <v>47</v>
      </c>
      <c r="C4">
        <v>57</v>
      </c>
      <c r="D4">
        <v>32</v>
      </c>
      <c r="E4">
        <v>7</v>
      </c>
      <c r="F4">
        <v>18</v>
      </c>
      <c r="G4">
        <f t="shared" ref="G4:G42" si="0">C4-SUM(D4:F4)</f>
        <v>0</v>
      </c>
      <c r="H4" s="7">
        <v>0.13918981481481482</v>
      </c>
    </row>
    <row r="5" spans="1:8" x14ac:dyDescent="0.25">
      <c r="A5" t="s">
        <v>47</v>
      </c>
      <c r="B5" t="s">
        <v>48</v>
      </c>
      <c r="C5">
        <v>46</v>
      </c>
      <c r="D5">
        <v>33</v>
      </c>
      <c r="E5">
        <v>2</v>
      </c>
      <c r="F5">
        <v>11</v>
      </c>
      <c r="G5">
        <f t="shared" si="0"/>
        <v>0</v>
      </c>
      <c r="H5" s="7">
        <v>5.2164351851851858E-2</v>
      </c>
    </row>
    <row r="6" spans="1:8" x14ac:dyDescent="0.25">
      <c r="A6" t="s">
        <v>48</v>
      </c>
      <c r="B6" t="s">
        <v>49</v>
      </c>
      <c r="C6">
        <v>130</v>
      </c>
      <c r="D6">
        <v>65</v>
      </c>
      <c r="E6">
        <v>27</v>
      </c>
      <c r="F6">
        <v>38</v>
      </c>
      <c r="G6">
        <f t="shared" si="0"/>
        <v>0</v>
      </c>
      <c r="H6" s="7">
        <v>9.6909722222222217E-2</v>
      </c>
    </row>
    <row r="7" spans="1:8" x14ac:dyDescent="0.25">
      <c r="A7" t="s">
        <v>49</v>
      </c>
      <c r="B7" t="s">
        <v>50</v>
      </c>
      <c r="C7">
        <v>565</v>
      </c>
      <c r="D7">
        <v>448</v>
      </c>
      <c r="E7">
        <v>9</v>
      </c>
      <c r="F7">
        <v>108</v>
      </c>
      <c r="G7">
        <f t="shared" si="0"/>
        <v>0</v>
      </c>
      <c r="H7" s="7">
        <v>8.9282407407407408E-2</v>
      </c>
    </row>
    <row r="8" spans="1:8" x14ac:dyDescent="0.25">
      <c r="A8" t="s">
        <v>50</v>
      </c>
      <c r="B8" t="s">
        <v>51</v>
      </c>
      <c r="C8">
        <v>569</v>
      </c>
      <c r="D8">
        <v>435</v>
      </c>
      <c r="E8">
        <v>27</v>
      </c>
      <c r="F8">
        <v>107</v>
      </c>
      <c r="G8">
        <f t="shared" si="0"/>
        <v>0</v>
      </c>
      <c r="H8" s="7">
        <v>0.22469907407407408</v>
      </c>
    </row>
    <row r="9" spans="1:8" x14ac:dyDescent="0.25">
      <c r="A9" t="s">
        <v>51</v>
      </c>
      <c r="B9" t="s">
        <v>52</v>
      </c>
      <c r="C9">
        <v>328</v>
      </c>
      <c r="D9">
        <v>255</v>
      </c>
      <c r="E9">
        <v>35</v>
      </c>
      <c r="F9">
        <v>38</v>
      </c>
      <c r="G9">
        <f t="shared" si="0"/>
        <v>0</v>
      </c>
      <c r="H9" s="7">
        <v>0.17243055555555556</v>
      </c>
    </row>
    <row r="10" spans="1:8" x14ac:dyDescent="0.25">
      <c r="A10" t="s">
        <v>52</v>
      </c>
      <c r="B10" t="s">
        <v>53</v>
      </c>
      <c r="C10">
        <v>306</v>
      </c>
      <c r="D10">
        <v>231</v>
      </c>
      <c r="E10">
        <v>31</v>
      </c>
      <c r="F10">
        <v>44</v>
      </c>
      <c r="G10">
        <f t="shared" si="0"/>
        <v>0</v>
      </c>
      <c r="H10" s="7">
        <v>0.12717592592592594</v>
      </c>
    </row>
    <row r="11" spans="1:8" x14ac:dyDescent="0.25">
      <c r="A11" t="s">
        <v>53</v>
      </c>
      <c r="B11" t="s">
        <v>54</v>
      </c>
      <c r="C11">
        <v>176</v>
      </c>
      <c r="D11">
        <v>116</v>
      </c>
      <c r="E11">
        <v>19</v>
      </c>
      <c r="F11">
        <v>41</v>
      </c>
      <c r="G11">
        <f t="shared" si="0"/>
        <v>0</v>
      </c>
      <c r="H11" s="7">
        <v>0.16774305555555555</v>
      </c>
    </row>
    <row r="12" spans="1:8" x14ac:dyDescent="0.25">
      <c r="A12" t="s">
        <v>54</v>
      </c>
      <c r="B12" t="s">
        <v>55</v>
      </c>
      <c r="C12">
        <v>175</v>
      </c>
      <c r="D12">
        <v>127</v>
      </c>
      <c r="E12">
        <v>12</v>
      </c>
      <c r="F12">
        <v>36</v>
      </c>
      <c r="G12">
        <f t="shared" si="0"/>
        <v>0</v>
      </c>
      <c r="H12" s="7">
        <v>9.3680555555555559E-2</v>
      </c>
    </row>
    <row r="13" spans="1:8" x14ac:dyDescent="0.25">
      <c r="A13" t="s">
        <v>55</v>
      </c>
      <c r="B13" t="s">
        <v>56</v>
      </c>
      <c r="C13">
        <v>173</v>
      </c>
      <c r="D13">
        <v>125</v>
      </c>
      <c r="E13">
        <v>16</v>
      </c>
      <c r="F13">
        <v>32</v>
      </c>
      <c r="G13">
        <f t="shared" si="0"/>
        <v>0</v>
      </c>
      <c r="H13" s="7">
        <v>4.8831018518518517E-2</v>
      </c>
    </row>
    <row r="14" spans="1:8" x14ac:dyDescent="0.25">
      <c r="A14" t="s">
        <v>56</v>
      </c>
      <c r="B14" t="s">
        <v>57</v>
      </c>
      <c r="C14">
        <v>114</v>
      </c>
      <c r="D14">
        <v>71</v>
      </c>
      <c r="E14">
        <v>15</v>
      </c>
      <c r="F14">
        <v>28</v>
      </c>
      <c r="G14">
        <f t="shared" si="0"/>
        <v>0</v>
      </c>
      <c r="H14" s="7">
        <v>5.4756944444444448E-2</v>
      </c>
    </row>
    <row r="15" spans="1:8" x14ac:dyDescent="0.25">
      <c r="A15" t="s">
        <v>57</v>
      </c>
      <c r="B15" t="s">
        <v>58</v>
      </c>
      <c r="C15">
        <v>194</v>
      </c>
      <c r="D15">
        <v>133</v>
      </c>
      <c r="E15">
        <v>21</v>
      </c>
      <c r="F15">
        <v>40</v>
      </c>
      <c r="G15">
        <f t="shared" si="0"/>
        <v>0</v>
      </c>
      <c r="H15" s="7">
        <v>9.6921296296296297E-2</v>
      </c>
    </row>
    <row r="16" spans="1:8" x14ac:dyDescent="0.25">
      <c r="A16" t="s">
        <v>58</v>
      </c>
      <c r="B16" t="s">
        <v>59</v>
      </c>
      <c r="C16">
        <v>245</v>
      </c>
      <c r="D16">
        <v>157</v>
      </c>
      <c r="E16">
        <v>25</v>
      </c>
      <c r="F16">
        <v>63</v>
      </c>
      <c r="G16">
        <f t="shared" si="0"/>
        <v>0</v>
      </c>
      <c r="H16" s="7">
        <v>8.9143518518518525E-2</v>
      </c>
    </row>
    <row r="17" spans="1:8" x14ac:dyDescent="0.25">
      <c r="A17" t="s">
        <v>59</v>
      </c>
      <c r="B17" t="s">
        <v>60</v>
      </c>
      <c r="C17">
        <v>524</v>
      </c>
      <c r="D17">
        <v>399</v>
      </c>
      <c r="E17">
        <v>33</v>
      </c>
      <c r="F17">
        <v>92</v>
      </c>
      <c r="G17">
        <f t="shared" si="0"/>
        <v>0</v>
      </c>
      <c r="H17" s="7">
        <v>9.8055555555555562E-2</v>
      </c>
    </row>
    <row r="18" spans="1:8" x14ac:dyDescent="0.25">
      <c r="A18" t="s">
        <v>60</v>
      </c>
      <c r="B18" t="s">
        <v>61</v>
      </c>
      <c r="C18">
        <v>358</v>
      </c>
      <c r="D18">
        <v>265</v>
      </c>
      <c r="E18">
        <v>21</v>
      </c>
      <c r="F18">
        <v>72</v>
      </c>
      <c r="G18">
        <f t="shared" si="0"/>
        <v>0</v>
      </c>
      <c r="H18" s="7">
        <v>0.12557870370370369</v>
      </c>
    </row>
    <row r="19" spans="1:8" x14ac:dyDescent="0.25">
      <c r="A19" t="s">
        <v>61</v>
      </c>
      <c r="B19" t="s">
        <v>62</v>
      </c>
      <c r="C19">
        <v>366</v>
      </c>
      <c r="D19">
        <v>294</v>
      </c>
      <c r="E19">
        <v>13</v>
      </c>
      <c r="F19">
        <v>59</v>
      </c>
      <c r="G19">
        <f t="shared" si="0"/>
        <v>0</v>
      </c>
      <c r="H19" s="7">
        <v>9.3611111111111103E-2</v>
      </c>
    </row>
    <row r="20" spans="1:8" x14ac:dyDescent="0.25">
      <c r="A20" t="s">
        <v>62</v>
      </c>
      <c r="B20" t="s">
        <v>63</v>
      </c>
      <c r="C20">
        <v>457</v>
      </c>
      <c r="D20">
        <v>318</v>
      </c>
      <c r="E20">
        <v>20</v>
      </c>
      <c r="F20">
        <v>119</v>
      </c>
      <c r="G20">
        <f t="shared" si="0"/>
        <v>0</v>
      </c>
      <c r="H20" s="7">
        <v>8.8749999999999996E-2</v>
      </c>
    </row>
    <row r="21" spans="1:8" x14ac:dyDescent="0.25">
      <c r="A21" t="s">
        <v>63</v>
      </c>
      <c r="B21" t="s">
        <v>64</v>
      </c>
      <c r="C21">
        <v>345</v>
      </c>
      <c r="D21">
        <v>258</v>
      </c>
      <c r="E21">
        <v>8</v>
      </c>
      <c r="F21">
        <v>79</v>
      </c>
      <c r="G21">
        <f t="shared" si="0"/>
        <v>0</v>
      </c>
      <c r="H21" s="7">
        <v>5.4155092592592595E-2</v>
      </c>
    </row>
    <row r="22" spans="1:8" x14ac:dyDescent="0.25">
      <c r="A22" t="s">
        <v>64</v>
      </c>
      <c r="B22" t="s">
        <v>65</v>
      </c>
      <c r="C22">
        <v>625</v>
      </c>
      <c r="D22">
        <v>517</v>
      </c>
      <c r="E22">
        <v>31</v>
      </c>
      <c r="F22">
        <v>77</v>
      </c>
      <c r="G22">
        <f t="shared" si="0"/>
        <v>0</v>
      </c>
      <c r="H22" s="7">
        <v>5.3379629629629631E-2</v>
      </c>
    </row>
    <row r="23" spans="1:8" x14ac:dyDescent="0.25">
      <c r="A23" t="s">
        <v>65</v>
      </c>
      <c r="B23" t="s">
        <v>66</v>
      </c>
      <c r="C23">
        <v>389</v>
      </c>
      <c r="D23">
        <v>319</v>
      </c>
      <c r="E23">
        <v>15</v>
      </c>
      <c r="F23">
        <v>54</v>
      </c>
      <c r="G23">
        <f t="shared" si="0"/>
        <v>1</v>
      </c>
      <c r="H23" s="7">
        <v>8.9050925925925936E-2</v>
      </c>
    </row>
    <row r="24" spans="1:8" x14ac:dyDescent="0.25">
      <c r="A24" t="s">
        <v>66</v>
      </c>
      <c r="B24" t="s">
        <v>67</v>
      </c>
      <c r="C24">
        <v>419</v>
      </c>
      <c r="D24">
        <v>321</v>
      </c>
      <c r="E24">
        <v>22</v>
      </c>
      <c r="F24">
        <v>73</v>
      </c>
      <c r="G24">
        <f t="shared" si="0"/>
        <v>3</v>
      </c>
      <c r="H24" s="7">
        <v>0.29626157407407411</v>
      </c>
    </row>
    <row r="25" spans="1:8" x14ac:dyDescent="0.25">
      <c r="A25" t="s">
        <v>67</v>
      </c>
      <c r="B25" t="s">
        <v>68</v>
      </c>
      <c r="C25">
        <v>339</v>
      </c>
      <c r="D25">
        <v>253</v>
      </c>
      <c r="E25">
        <v>9</v>
      </c>
      <c r="F25">
        <v>77</v>
      </c>
      <c r="G25">
        <f t="shared" si="0"/>
        <v>0</v>
      </c>
      <c r="H25" s="7">
        <v>0.2165162037037037</v>
      </c>
    </row>
    <row r="26" spans="1:8" x14ac:dyDescent="0.25">
      <c r="A26" t="s">
        <v>68</v>
      </c>
      <c r="B26" t="s">
        <v>69</v>
      </c>
      <c r="C26">
        <v>589</v>
      </c>
      <c r="D26">
        <v>437</v>
      </c>
      <c r="E26">
        <v>25</v>
      </c>
      <c r="F26">
        <v>123</v>
      </c>
      <c r="G26">
        <f t="shared" si="0"/>
        <v>4</v>
      </c>
      <c r="H26" s="7">
        <v>0.17501157407407408</v>
      </c>
    </row>
    <row r="27" spans="1:8" x14ac:dyDescent="0.25">
      <c r="A27" t="s">
        <v>69</v>
      </c>
      <c r="B27" t="s">
        <v>70</v>
      </c>
      <c r="C27">
        <v>419</v>
      </c>
      <c r="D27">
        <v>318</v>
      </c>
      <c r="E27">
        <v>13</v>
      </c>
      <c r="F27">
        <v>84</v>
      </c>
      <c r="G27">
        <f t="shared" si="0"/>
        <v>4</v>
      </c>
      <c r="H27" s="7">
        <v>0.21873842592592593</v>
      </c>
    </row>
    <row r="28" spans="1:8" x14ac:dyDescent="0.25">
      <c r="A28" t="s">
        <v>70</v>
      </c>
      <c r="B28" t="s">
        <v>71</v>
      </c>
      <c r="C28">
        <v>661</v>
      </c>
      <c r="D28">
        <v>525</v>
      </c>
      <c r="E28">
        <v>28</v>
      </c>
      <c r="F28">
        <v>105</v>
      </c>
      <c r="G28">
        <f t="shared" si="0"/>
        <v>3</v>
      </c>
      <c r="H28" s="7">
        <v>9.8136574074074071E-2</v>
      </c>
    </row>
    <row r="29" spans="1:8" x14ac:dyDescent="0.25">
      <c r="A29" t="s">
        <v>71</v>
      </c>
      <c r="B29" t="s">
        <v>72</v>
      </c>
      <c r="C29">
        <v>594</v>
      </c>
      <c r="D29">
        <v>450</v>
      </c>
      <c r="E29">
        <v>15</v>
      </c>
      <c r="F29">
        <v>121</v>
      </c>
      <c r="G29">
        <f t="shared" si="0"/>
        <v>8</v>
      </c>
      <c r="H29" s="7">
        <v>0.1353125</v>
      </c>
    </row>
    <row r="30" spans="1:8" x14ac:dyDescent="0.25">
      <c r="A30" t="s">
        <v>72</v>
      </c>
      <c r="B30" t="s">
        <v>73</v>
      </c>
      <c r="C30">
        <v>519</v>
      </c>
      <c r="D30">
        <v>399</v>
      </c>
      <c r="E30">
        <v>16</v>
      </c>
      <c r="F30">
        <v>102</v>
      </c>
      <c r="G30">
        <f t="shared" si="0"/>
        <v>2</v>
      </c>
      <c r="H30" s="7">
        <v>9.5000000000000015E-2</v>
      </c>
    </row>
    <row r="31" spans="1:8" x14ac:dyDescent="0.25">
      <c r="A31" t="s">
        <v>73</v>
      </c>
      <c r="B31" t="s">
        <v>74</v>
      </c>
      <c r="C31">
        <v>509</v>
      </c>
      <c r="D31">
        <v>376</v>
      </c>
      <c r="E31">
        <v>13</v>
      </c>
      <c r="F31">
        <v>117</v>
      </c>
      <c r="G31">
        <f t="shared" si="0"/>
        <v>3</v>
      </c>
      <c r="H31" s="7">
        <v>9.8171296296296298E-2</v>
      </c>
    </row>
    <row r="32" spans="1:8" x14ac:dyDescent="0.25">
      <c r="A32" t="s">
        <v>74</v>
      </c>
      <c r="B32" t="s">
        <v>75</v>
      </c>
      <c r="C32">
        <v>565</v>
      </c>
      <c r="D32">
        <v>432</v>
      </c>
      <c r="E32">
        <v>21</v>
      </c>
      <c r="F32">
        <v>109</v>
      </c>
      <c r="G32">
        <f t="shared" si="0"/>
        <v>3</v>
      </c>
      <c r="H32" s="7">
        <v>0.1380787037037037</v>
      </c>
    </row>
    <row r="33" spans="1:8" x14ac:dyDescent="0.25">
      <c r="A33" t="s">
        <v>75</v>
      </c>
      <c r="B33" t="s">
        <v>76</v>
      </c>
      <c r="C33">
        <v>412</v>
      </c>
      <c r="D33">
        <v>327</v>
      </c>
      <c r="E33">
        <v>22</v>
      </c>
      <c r="F33">
        <v>62</v>
      </c>
      <c r="G33">
        <f t="shared" si="0"/>
        <v>1</v>
      </c>
      <c r="H33" s="7">
        <v>0.16783564814814814</v>
      </c>
    </row>
    <row r="34" spans="1:8" x14ac:dyDescent="0.25">
      <c r="A34" t="s">
        <v>76</v>
      </c>
      <c r="B34" t="s">
        <v>77</v>
      </c>
      <c r="C34">
        <v>551</v>
      </c>
      <c r="D34">
        <v>402</v>
      </c>
      <c r="E34">
        <v>30</v>
      </c>
      <c r="F34">
        <v>116</v>
      </c>
      <c r="G34">
        <f t="shared" si="0"/>
        <v>3</v>
      </c>
      <c r="H34" s="7">
        <v>0.22229166666666667</v>
      </c>
    </row>
    <row r="35" spans="1:8" x14ac:dyDescent="0.25">
      <c r="A35" t="s">
        <v>77</v>
      </c>
      <c r="B35" t="s">
        <v>78</v>
      </c>
      <c r="C35">
        <v>342</v>
      </c>
      <c r="D35">
        <v>267</v>
      </c>
      <c r="E35">
        <v>12</v>
      </c>
      <c r="F35">
        <v>61</v>
      </c>
      <c r="G35">
        <f t="shared" si="0"/>
        <v>2</v>
      </c>
      <c r="H35" s="7">
        <v>0.17590277777777777</v>
      </c>
    </row>
    <row r="36" spans="1:8" x14ac:dyDescent="0.25">
      <c r="A36" t="s">
        <v>78</v>
      </c>
      <c r="B36" t="s">
        <v>79</v>
      </c>
      <c r="C36">
        <v>532</v>
      </c>
      <c r="D36">
        <v>387</v>
      </c>
      <c r="E36">
        <v>16</v>
      </c>
      <c r="F36">
        <v>124</v>
      </c>
      <c r="G36">
        <f t="shared" si="0"/>
        <v>5</v>
      </c>
      <c r="H36" s="7">
        <v>0.17834490740740741</v>
      </c>
    </row>
    <row r="37" spans="1:8" x14ac:dyDescent="0.25">
      <c r="A37" t="s">
        <v>79</v>
      </c>
      <c r="B37" t="s">
        <v>80</v>
      </c>
      <c r="C37">
        <v>738</v>
      </c>
      <c r="D37">
        <v>555</v>
      </c>
      <c r="E37">
        <v>13</v>
      </c>
      <c r="F37">
        <v>168</v>
      </c>
      <c r="G37">
        <f t="shared" si="0"/>
        <v>2</v>
      </c>
      <c r="H37" s="7">
        <v>0.17163194444444443</v>
      </c>
    </row>
    <row r="38" spans="1:8" x14ac:dyDescent="0.25">
      <c r="A38" t="s">
        <v>80</v>
      </c>
      <c r="B38" t="s">
        <v>81</v>
      </c>
      <c r="C38">
        <v>566</v>
      </c>
      <c r="D38">
        <v>457</v>
      </c>
      <c r="E38">
        <v>23</v>
      </c>
      <c r="F38">
        <v>82</v>
      </c>
      <c r="G38">
        <f t="shared" si="0"/>
        <v>4</v>
      </c>
      <c r="H38" s="7">
        <v>0.12726851851851853</v>
      </c>
    </row>
    <row r="39" spans="1:8" x14ac:dyDescent="0.25">
      <c r="A39" t="s">
        <v>81</v>
      </c>
      <c r="B39" t="s">
        <v>82</v>
      </c>
      <c r="C39">
        <v>617</v>
      </c>
      <c r="D39">
        <v>460</v>
      </c>
      <c r="E39">
        <v>19</v>
      </c>
      <c r="F39">
        <v>130</v>
      </c>
      <c r="G39">
        <f t="shared" si="0"/>
        <v>8</v>
      </c>
      <c r="H39" s="7">
        <v>8.5266203703703705E-2</v>
      </c>
    </row>
    <row r="40" spans="1:8" x14ac:dyDescent="0.25">
      <c r="A40" t="s">
        <v>82</v>
      </c>
      <c r="B40" t="s">
        <v>83</v>
      </c>
      <c r="C40">
        <v>619</v>
      </c>
      <c r="D40">
        <v>482</v>
      </c>
      <c r="E40">
        <v>11</v>
      </c>
      <c r="F40">
        <v>121</v>
      </c>
      <c r="G40">
        <f t="shared" si="0"/>
        <v>5</v>
      </c>
      <c r="H40" s="7">
        <v>4.746527777777778E-2</v>
      </c>
    </row>
    <row r="41" spans="1:8" x14ac:dyDescent="0.25">
      <c r="A41" t="s">
        <v>83</v>
      </c>
      <c r="B41" t="s">
        <v>84</v>
      </c>
      <c r="C41">
        <v>465</v>
      </c>
      <c r="D41">
        <v>362</v>
      </c>
      <c r="E41">
        <v>7</v>
      </c>
      <c r="F41">
        <v>84</v>
      </c>
      <c r="G41">
        <f t="shared" si="0"/>
        <v>12</v>
      </c>
      <c r="H41" s="7">
        <v>5.3229166666666661E-2</v>
      </c>
    </row>
    <row r="42" spans="1:8" x14ac:dyDescent="0.25">
      <c r="A42" t="s">
        <v>84</v>
      </c>
      <c r="B42" t="s">
        <v>85</v>
      </c>
      <c r="C42">
        <v>138</v>
      </c>
      <c r="D42">
        <v>97</v>
      </c>
      <c r="E42">
        <v>1</v>
      </c>
      <c r="F42">
        <v>19</v>
      </c>
      <c r="G42">
        <f t="shared" si="0"/>
        <v>21</v>
      </c>
      <c r="H42" s="7">
        <v>4.6296296296296301E-2</v>
      </c>
    </row>
    <row r="43" spans="1:8" ht="15.75" thickBot="1" x14ac:dyDescent="0.3">
      <c r="A43" s="8" t="s">
        <v>10</v>
      </c>
      <c r="B43" s="8"/>
      <c r="C43" s="8">
        <f>SUM(C3:C42)</f>
        <v>15817</v>
      </c>
      <c r="D43" s="8">
        <f t="shared" ref="D43:F43" si="1">SUM(D3:D42)</f>
        <v>11960</v>
      </c>
      <c r="E43" s="8">
        <f t="shared" si="1"/>
        <v>715</v>
      </c>
      <c r="F43" s="8">
        <f t="shared" si="1"/>
        <v>3048</v>
      </c>
      <c r="G43" s="8">
        <f>C43-SUM(D43:F43)</f>
        <v>94</v>
      </c>
    </row>
    <row r="44" spans="1:8" ht="15.75" thickTop="1" x14ac:dyDescent="0.25"/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9F121-1096-43CA-814E-59C91389B4C6}">
  <dimension ref="A1:I49"/>
  <sheetViews>
    <sheetView workbookViewId="0">
      <selection activeCell="G47" sqref="G3:G47"/>
    </sheetView>
  </sheetViews>
  <sheetFormatPr defaultRowHeight="15" x14ac:dyDescent="0.25"/>
  <cols>
    <col min="1" max="8" width="29.42578125" customWidth="1"/>
    <col min="9" max="9" width="15.85546875" customWidth="1"/>
  </cols>
  <sheetData>
    <row r="1" spans="1:9" ht="23.25" x14ac:dyDescent="0.35">
      <c r="A1" s="9" t="s">
        <v>86</v>
      </c>
      <c r="B1" s="9"/>
      <c r="C1" s="9"/>
      <c r="D1" s="9"/>
      <c r="E1" s="9"/>
      <c r="F1" s="9"/>
      <c r="G1" s="9"/>
      <c r="H1" s="9"/>
      <c r="I1" s="9"/>
    </row>
    <row r="2" spans="1:9" ht="15.75" thickBot="1" x14ac:dyDescent="0.3">
      <c r="A2" s="6" t="s">
        <v>38</v>
      </c>
      <c r="B2" s="6" t="s">
        <v>5</v>
      </c>
      <c r="C2" s="6" t="s">
        <v>39</v>
      </c>
      <c r="D2" s="6" t="s">
        <v>40</v>
      </c>
      <c r="E2" s="6" t="s">
        <v>41</v>
      </c>
      <c r="F2" s="6" t="s">
        <v>42</v>
      </c>
      <c r="G2" s="6" t="s">
        <v>43</v>
      </c>
      <c r="H2" s="6" t="s">
        <v>44</v>
      </c>
    </row>
    <row r="3" spans="1:9" x14ac:dyDescent="0.25">
      <c r="A3" t="s">
        <v>45</v>
      </c>
      <c r="B3" t="s">
        <v>46</v>
      </c>
      <c r="C3">
        <v>81</v>
      </c>
      <c r="D3">
        <v>55</v>
      </c>
      <c r="E3">
        <v>12</v>
      </c>
      <c r="F3">
        <v>14</v>
      </c>
      <c r="G3">
        <f>C3-SUM(D3:F3)</f>
        <v>0</v>
      </c>
      <c r="H3" s="7">
        <v>4.7743055555555552E-2</v>
      </c>
    </row>
    <row r="4" spans="1:9" x14ac:dyDescent="0.25">
      <c r="A4" t="s">
        <v>46</v>
      </c>
      <c r="B4" t="s">
        <v>47</v>
      </c>
      <c r="C4">
        <v>57</v>
      </c>
      <c r="D4">
        <v>32</v>
      </c>
      <c r="E4">
        <v>7</v>
      </c>
      <c r="F4">
        <v>18</v>
      </c>
      <c r="G4">
        <f t="shared" ref="G4:G47" si="0">C4-SUM(D4:F4)</f>
        <v>0</v>
      </c>
      <c r="H4" s="7">
        <v>0.13918981481481482</v>
      </c>
    </row>
    <row r="5" spans="1:9" x14ac:dyDescent="0.25">
      <c r="A5" t="s">
        <v>47</v>
      </c>
      <c r="B5" t="s">
        <v>48</v>
      </c>
      <c r="C5">
        <v>46</v>
      </c>
      <c r="D5">
        <v>33</v>
      </c>
      <c r="E5">
        <v>2</v>
      </c>
      <c r="F5">
        <v>11</v>
      </c>
      <c r="G5">
        <f t="shared" si="0"/>
        <v>0</v>
      </c>
      <c r="H5" s="7">
        <v>5.2164351851851858E-2</v>
      </c>
    </row>
    <row r="6" spans="1:9" x14ac:dyDescent="0.25">
      <c r="A6" t="s">
        <v>48</v>
      </c>
      <c r="B6" t="s">
        <v>49</v>
      </c>
      <c r="C6">
        <v>130</v>
      </c>
      <c r="D6">
        <v>65</v>
      </c>
      <c r="E6">
        <v>27</v>
      </c>
      <c r="F6">
        <v>38</v>
      </c>
      <c r="G6">
        <f t="shared" si="0"/>
        <v>0</v>
      </c>
      <c r="H6" s="7">
        <v>9.6909722222222217E-2</v>
      </c>
    </row>
    <row r="7" spans="1:9" x14ac:dyDescent="0.25">
      <c r="A7" t="s">
        <v>49</v>
      </c>
      <c r="B7" t="s">
        <v>50</v>
      </c>
      <c r="C7">
        <v>565</v>
      </c>
      <c r="D7">
        <v>448</v>
      </c>
      <c r="E7">
        <v>9</v>
      </c>
      <c r="F7">
        <v>108</v>
      </c>
      <c r="G7">
        <f t="shared" si="0"/>
        <v>0</v>
      </c>
      <c r="H7" s="7">
        <v>8.9282407407407408E-2</v>
      </c>
    </row>
    <row r="8" spans="1:9" x14ac:dyDescent="0.25">
      <c r="A8" t="s">
        <v>50</v>
      </c>
      <c r="B8" t="s">
        <v>51</v>
      </c>
      <c r="C8">
        <v>569</v>
      </c>
      <c r="D8">
        <v>435</v>
      </c>
      <c r="E8">
        <v>27</v>
      </c>
      <c r="F8">
        <v>107</v>
      </c>
      <c r="G8">
        <f t="shared" si="0"/>
        <v>0</v>
      </c>
      <c r="H8" s="7">
        <v>0.22469907407407408</v>
      </c>
    </row>
    <row r="9" spans="1:9" x14ac:dyDescent="0.25">
      <c r="A9" t="s">
        <v>51</v>
      </c>
      <c r="B9" t="s">
        <v>52</v>
      </c>
      <c r="C9">
        <v>328</v>
      </c>
      <c r="D9">
        <v>255</v>
      </c>
      <c r="E9">
        <v>35</v>
      </c>
      <c r="F9">
        <v>38</v>
      </c>
      <c r="G9">
        <f t="shared" si="0"/>
        <v>0</v>
      </c>
      <c r="H9" s="7">
        <v>0.17243055555555556</v>
      </c>
    </row>
    <row r="10" spans="1:9" x14ac:dyDescent="0.25">
      <c r="A10" t="s">
        <v>52</v>
      </c>
      <c r="B10" t="s">
        <v>53</v>
      </c>
      <c r="C10">
        <v>306</v>
      </c>
      <c r="D10">
        <v>231</v>
      </c>
      <c r="E10">
        <v>31</v>
      </c>
      <c r="F10">
        <v>44</v>
      </c>
      <c r="G10">
        <f t="shared" si="0"/>
        <v>0</v>
      </c>
      <c r="H10" s="7">
        <v>0.12717592592592594</v>
      </c>
    </row>
    <row r="11" spans="1:9" x14ac:dyDescent="0.25">
      <c r="A11" t="s">
        <v>53</v>
      </c>
      <c r="B11" t="s">
        <v>54</v>
      </c>
      <c r="C11">
        <v>176</v>
      </c>
      <c r="D11">
        <v>116</v>
      </c>
      <c r="E11">
        <v>19</v>
      </c>
      <c r="F11">
        <v>41</v>
      </c>
      <c r="G11">
        <f t="shared" si="0"/>
        <v>0</v>
      </c>
      <c r="H11" s="7">
        <v>0.16774305555555555</v>
      </c>
    </row>
    <row r="12" spans="1:9" x14ac:dyDescent="0.25">
      <c r="A12" t="s">
        <v>54</v>
      </c>
      <c r="B12" t="s">
        <v>55</v>
      </c>
      <c r="C12">
        <v>175</v>
      </c>
      <c r="D12">
        <v>127</v>
      </c>
      <c r="E12">
        <v>12</v>
      </c>
      <c r="F12">
        <v>36</v>
      </c>
      <c r="G12">
        <f t="shared" si="0"/>
        <v>0</v>
      </c>
      <c r="H12" s="7">
        <v>9.3680555555555559E-2</v>
      </c>
    </row>
    <row r="13" spans="1:9" x14ac:dyDescent="0.25">
      <c r="A13" t="s">
        <v>55</v>
      </c>
      <c r="B13" t="s">
        <v>56</v>
      </c>
      <c r="C13">
        <v>173</v>
      </c>
      <c r="D13">
        <v>125</v>
      </c>
      <c r="E13">
        <v>16</v>
      </c>
      <c r="F13">
        <v>32</v>
      </c>
      <c r="G13">
        <f t="shared" si="0"/>
        <v>0</v>
      </c>
      <c r="H13" s="7">
        <v>4.8831018518518517E-2</v>
      </c>
    </row>
    <row r="14" spans="1:9" x14ac:dyDescent="0.25">
      <c r="A14" t="s">
        <v>56</v>
      </c>
      <c r="B14" t="s">
        <v>57</v>
      </c>
      <c r="C14">
        <v>114</v>
      </c>
      <c r="D14">
        <v>71</v>
      </c>
      <c r="E14">
        <v>15</v>
      </c>
      <c r="F14">
        <v>28</v>
      </c>
      <c r="G14">
        <f t="shared" si="0"/>
        <v>0</v>
      </c>
      <c r="H14" s="7">
        <v>5.4756944444444448E-2</v>
      </c>
    </row>
    <row r="15" spans="1:9" x14ac:dyDescent="0.25">
      <c r="A15" t="s">
        <v>57</v>
      </c>
      <c r="B15" t="s">
        <v>58</v>
      </c>
      <c r="C15">
        <v>194</v>
      </c>
      <c r="D15">
        <v>133</v>
      </c>
      <c r="E15">
        <v>21</v>
      </c>
      <c r="F15">
        <v>40</v>
      </c>
      <c r="G15">
        <f t="shared" si="0"/>
        <v>0</v>
      </c>
      <c r="H15" s="7">
        <v>9.6921296296296297E-2</v>
      </c>
    </row>
    <row r="16" spans="1:9" x14ac:dyDescent="0.25">
      <c r="A16" t="s">
        <v>58</v>
      </c>
      <c r="B16" t="s">
        <v>59</v>
      </c>
      <c r="C16">
        <v>245</v>
      </c>
      <c r="D16">
        <v>157</v>
      </c>
      <c r="E16">
        <v>25</v>
      </c>
      <c r="F16">
        <v>63</v>
      </c>
      <c r="G16">
        <f t="shared" si="0"/>
        <v>0</v>
      </c>
      <c r="H16" s="7">
        <v>8.9143518518518525E-2</v>
      </c>
    </row>
    <row r="17" spans="1:8" x14ac:dyDescent="0.25">
      <c r="A17" t="s">
        <v>59</v>
      </c>
      <c r="B17" t="s">
        <v>60</v>
      </c>
      <c r="C17">
        <v>524</v>
      </c>
      <c r="D17">
        <v>399</v>
      </c>
      <c r="E17">
        <v>33</v>
      </c>
      <c r="F17">
        <v>92</v>
      </c>
      <c r="G17">
        <f t="shared" si="0"/>
        <v>0</v>
      </c>
      <c r="H17" s="7">
        <v>9.8055555555555562E-2</v>
      </c>
    </row>
    <row r="18" spans="1:8" x14ac:dyDescent="0.25">
      <c r="A18" t="s">
        <v>60</v>
      </c>
      <c r="B18" t="s">
        <v>61</v>
      </c>
      <c r="C18">
        <v>358</v>
      </c>
      <c r="D18">
        <v>265</v>
      </c>
      <c r="E18">
        <v>21</v>
      </c>
      <c r="F18">
        <v>72</v>
      </c>
      <c r="G18">
        <f t="shared" si="0"/>
        <v>0</v>
      </c>
      <c r="H18" s="7">
        <v>0.12557870370370369</v>
      </c>
    </row>
    <row r="19" spans="1:8" x14ac:dyDescent="0.25">
      <c r="A19" t="s">
        <v>61</v>
      </c>
      <c r="B19" t="s">
        <v>62</v>
      </c>
      <c r="C19">
        <v>366</v>
      </c>
      <c r="D19">
        <v>294</v>
      </c>
      <c r="E19">
        <v>13</v>
      </c>
      <c r="F19">
        <v>59</v>
      </c>
      <c r="G19">
        <f t="shared" si="0"/>
        <v>0</v>
      </c>
      <c r="H19" s="7">
        <v>9.3611111111111103E-2</v>
      </c>
    </row>
    <row r="20" spans="1:8" x14ac:dyDescent="0.25">
      <c r="A20" t="s">
        <v>62</v>
      </c>
      <c r="B20" t="s">
        <v>63</v>
      </c>
      <c r="C20">
        <v>457</v>
      </c>
      <c r="D20">
        <v>318</v>
      </c>
      <c r="E20">
        <v>20</v>
      </c>
      <c r="F20">
        <v>119</v>
      </c>
      <c r="G20">
        <f t="shared" si="0"/>
        <v>0</v>
      </c>
      <c r="H20" s="7">
        <v>8.8749999999999996E-2</v>
      </c>
    </row>
    <row r="21" spans="1:8" x14ac:dyDescent="0.25">
      <c r="A21" t="s">
        <v>63</v>
      </c>
      <c r="B21" t="s">
        <v>64</v>
      </c>
      <c r="C21">
        <v>345</v>
      </c>
      <c r="D21">
        <v>258</v>
      </c>
      <c r="E21">
        <v>8</v>
      </c>
      <c r="F21">
        <v>79</v>
      </c>
      <c r="G21">
        <f t="shared" si="0"/>
        <v>0</v>
      </c>
      <c r="H21" s="7">
        <v>5.4155092592592595E-2</v>
      </c>
    </row>
    <row r="22" spans="1:8" x14ac:dyDescent="0.25">
      <c r="A22" t="s">
        <v>64</v>
      </c>
      <c r="B22" t="s">
        <v>65</v>
      </c>
      <c r="C22">
        <v>625</v>
      </c>
      <c r="D22">
        <v>517</v>
      </c>
      <c r="E22">
        <v>31</v>
      </c>
      <c r="F22">
        <v>77</v>
      </c>
      <c r="G22">
        <f t="shared" si="0"/>
        <v>0</v>
      </c>
      <c r="H22" s="7">
        <v>5.3379629629629631E-2</v>
      </c>
    </row>
    <row r="23" spans="1:8" x14ac:dyDescent="0.25">
      <c r="A23" t="s">
        <v>65</v>
      </c>
      <c r="B23" t="s">
        <v>66</v>
      </c>
      <c r="C23">
        <v>389</v>
      </c>
      <c r="D23">
        <v>319</v>
      </c>
      <c r="E23">
        <v>15</v>
      </c>
      <c r="F23">
        <v>54</v>
      </c>
      <c r="G23">
        <f t="shared" si="0"/>
        <v>1</v>
      </c>
      <c r="H23" s="7">
        <v>8.9050925925925936E-2</v>
      </c>
    </row>
    <row r="24" spans="1:8" x14ac:dyDescent="0.25">
      <c r="A24" t="s">
        <v>66</v>
      </c>
      <c r="B24" t="s">
        <v>67</v>
      </c>
      <c r="C24">
        <v>419</v>
      </c>
      <c r="D24">
        <v>321</v>
      </c>
      <c r="E24">
        <v>22</v>
      </c>
      <c r="F24">
        <v>73</v>
      </c>
      <c r="G24">
        <f t="shared" si="0"/>
        <v>3</v>
      </c>
      <c r="H24" s="7">
        <v>0.29626157407407411</v>
      </c>
    </row>
    <row r="25" spans="1:8" x14ac:dyDescent="0.25">
      <c r="A25" t="s">
        <v>67</v>
      </c>
      <c r="B25" t="s">
        <v>68</v>
      </c>
      <c r="C25">
        <v>339</v>
      </c>
      <c r="D25">
        <v>253</v>
      </c>
      <c r="E25">
        <v>9</v>
      </c>
      <c r="F25">
        <v>77</v>
      </c>
      <c r="G25">
        <f t="shared" si="0"/>
        <v>0</v>
      </c>
      <c r="H25" s="7">
        <v>0.2165162037037037</v>
      </c>
    </row>
    <row r="26" spans="1:8" x14ac:dyDescent="0.25">
      <c r="A26" t="s">
        <v>68</v>
      </c>
      <c r="B26" t="s">
        <v>69</v>
      </c>
      <c r="C26">
        <v>589</v>
      </c>
      <c r="D26">
        <v>437</v>
      </c>
      <c r="E26">
        <v>25</v>
      </c>
      <c r="F26">
        <v>123</v>
      </c>
      <c r="G26">
        <f t="shared" si="0"/>
        <v>4</v>
      </c>
      <c r="H26" s="7">
        <v>0.17501157407407408</v>
      </c>
    </row>
    <row r="27" spans="1:8" x14ac:dyDescent="0.25">
      <c r="A27" t="s">
        <v>69</v>
      </c>
      <c r="B27" t="s">
        <v>70</v>
      </c>
      <c r="C27">
        <v>419</v>
      </c>
      <c r="D27">
        <v>318</v>
      </c>
      <c r="E27">
        <v>13</v>
      </c>
      <c r="F27">
        <v>84</v>
      </c>
      <c r="G27">
        <f t="shared" si="0"/>
        <v>4</v>
      </c>
      <c r="H27" s="7">
        <v>0.21873842592592593</v>
      </c>
    </row>
    <row r="28" spans="1:8" x14ac:dyDescent="0.25">
      <c r="A28" t="s">
        <v>70</v>
      </c>
      <c r="B28" t="s">
        <v>71</v>
      </c>
      <c r="C28">
        <v>661</v>
      </c>
      <c r="D28">
        <v>526</v>
      </c>
      <c r="E28">
        <v>28</v>
      </c>
      <c r="F28">
        <v>105</v>
      </c>
      <c r="G28">
        <f t="shared" si="0"/>
        <v>2</v>
      </c>
      <c r="H28" s="7">
        <v>0.13896990740740742</v>
      </c>
    </row>
    <row r="29" spans="1:8" x14ac:dyDescent="0.25">
      <c r="A29" t="s">
        <v>71</v>
      </c>
      <c r="B29" t="s">
        <v>72</v>
      </c>
      <c r="C29">
        <v>594</v>
      </c>
      <c r="D29">
        <v>451</v>
      </c>
      <c r="E29">
        <v>15</v>
      </c>
      <c r="F29">
        <v>122</v>
      </c>
      <c r="G29">
        <f t="shared" si="0"/>
        <v>6</v>
      </c>
      <c r="H29" s="7">
        <v>0.17917824074074074</v>
      </c>
    </row>
    <row r="30" spans="1:8" x14ac:dyDescent="0.25">
      <c r="A30" t="s">
        <v>72</v>
      </c>
      <c r="B30" t="s">
        <v>73</v>
      </c>
      <c r="C30">
        <v>519</v>
      </c>
      <c r="D30">
        <v>399</v>
      </c>
      <c r="E30">
        <v>16</v>
      </c>
      <c r="F30">
        <v>102</v>
      </c>
      <c r="G30">
        <f t="shared" si="0"/>
        <v>2</v>
      </c>
      <c r="H30" s="7">
        <v>9.5000000000000015E-2</v>
      </c>
    </row>
    <row r="31" spans="1:8" x14ac:dyDescent="0.25">
      <c r="A31" t="s">
        <v>73</v>
      </c>
      <c r="B31" t="s">
        <v>74</v>
      </c>
      <c r="C31">
        <v>509</v>
      </c>
      <c r="D31">
        <v>376</v>
      </c>
      <c r="E31">
        <v>13</v>
      </c>
      <c r="F31">
        <v>117</v>
      </c>
      <c r="G31">
        <f t="shared" si="0"/>
        <v>3</v>
      </c>
      <c r="H31" s="7">
        <v>9.8171296296296298E-2</v>
      </c>
    </row>
    <row r="32" spans="1:8" x14ac:dyDescent="0.25">
      <c r="A32" t="s">
        <v>74</v>
      </c>
      <c r="B32" t="s">
        <v>75</v>
      </c>
      <c r="C32">
        <v>565</v>
      </c>
      <c r="D32">
        <v>432</v>
      </c>
      <c r="E32">
        <v>21</v>
      </c>
      <c r="F32">
        <v>109</v>
      </c>
      <c r="G32">
        <f t="shared" si="0"/>
        <v>3</v>
      </c>
      <c r="H32" s="7">
        <v>0.1380787037037037</v>
      </c>
    </row>
    <row r="33" spans="1:8" x14ac:dyDescent="0.25">
      <c r="A33" t="s">
        <v>75</v>
      </c>
      <c r="B33" t="s">
        <v>76</v>
      </c>
      <c r="C33">
        <v>412</v>
      </c>
      <c r="D33">
        <v>328</v>
      </c>
      <c r="E33">
        <v>22</v>
      </c>
      <c r="F33">
        <v>62</v>
      </c>
      <c r="G33">
        <f t="shared" si="0"/>
        <v>0</v>
      </c>
      <c r="H33" s="7">
        <v>0.21284722222222222</v>
      </c>
    </row>
    <row r="34" spans="1:8" x14ac:dyDescent="0.25">
      <c r="A34" t="s">
        <v>76</v>
      </c>
      <c r="B34" t="s">
        <v>77</v>
      </c>
      <c r="C34">
        <v>551</v>
      </c>
      <c r="D34">
        <v>403</v>
      </c>
      <c r="E34">
        <v>30</v>
      </c>
      <c r="F34">
        <v>116</v>
      </c>
      <c r="G34">
        <f t="shared" si="0"/>
        <v>2</v>
      </c>
      <c r="H34" s="7">
        <v>0.25884259259259262</v>
      </c>
    </row>
    <row r="35" spans="1:8" x14ac:dyDescent="0.25">
      <c r="A35" t="s">
        <v>77</v>
      </c>
      <c r="B35" t="s">
        <v>78</v>
      </c>
      <c r="C35">
        <v>342</v>
      </c>
      <c r="D35">
        <v>267</v>
      </c>
      <c r="E35">
        <v>12</v>
      </c>
      <c r="F35">
        <v>61</v>
      </c>
      <c r="G35">
        <f t="shared" si="0"/>
        <v>2</v>
      </c>
      <c r="H35" s="7">
        <v>0.17590277777777777</v>
      </c>
    </row>
    <row r="36" spans="1:8" x14ac:dyDescent="0.25">
      <c r="A36" t="s">
        <v>78</v>
      </c>
      <c r="B36" t="s">
        <v>79</v>
      </c>
      <c r="C36">
        <v>532</v>
      </c>
      <c r="D36">
        <v>387</v>
      </c>
      <c r="E36">
        <v>16</v>
      </c>
      <c r="F36">
        <v>124</v>
      </c>
      <c r="G36">
        <f t="shared" si="0"/>
        <v>5</v>
      </c>
      <c r="H36" s="7">
        <v>0.17834490740740741</v>
      </c>
    </row>
    <row r="37" spans="1:8" x14ac:dyDescent="0.25">
      <c r="A37" t="s">
        <v>79</v>
      </c>
      <c r="B37" t="s">
        <v>80</v>
      </c>
      <c r="C37">
        <v>738</v>
      </c>
      <c r="D37">
        <v>555</v>
      </c>
      <c r="E37">
        <v>13</v>
      </c>
      <c r="F37">
        <v>168</v>
      </c>
      <c r="G37">
        <f t="shared" si="0"/>
        <v>2</v>
      </c>
      <c r="H37" s="7">
        <v>0.17163194444444443</v>
      </c>
    </row>
    <row r="38" spans="1:8" x14ac:dyDescent="0.25">
      <c r="A38" t="s">
        <v>80</v>
      </c>
      <c r="B38" t="s">
        <v>81</v>
      </c>
      <c r="C38">
        <v>566</v>
      </c>
      <c r="D38">
        <v>459</v>
      </c>
      <c r="E38">
        <v>23</v>
      </c>
      <c r="F38">
        <v>82</v>
      </c>
      <c r="G38">
        <f t="shared" si="0"/>
        <v>2</v>
      </c>
      <c r="H38" s="7">
        <v>0.17182870370370371</v>
      </c>
    </row>
    <row r="39" spans="1:8" x14ac:dyDescent="0.25">
      <c r="A39" t="s">
        <v>81</v>
      </c>
      <c r="B39" t="s">
        <v>82</v>
      </c>
      <c r="C39">
        <v>617</v>
      </c>
      <c r="D39">
        <v>465</v>
      </c>
      <c r="E39">
        <v>19</v>
      </c>
      <c r="F39">
        <v>130</v>
      </c>
      <c r="G39">
        <f t="shared" si="0"/>
        <v>3</v>
      </c>
      <c r="H39" s="7">
        <v>0.13780092592592594</v>
      </c>
    </row>
    <row r="40" spans="1:8" x14ac:dyDescent="0.25">
      <c r="A40" t="s">
        <v>82</v>
      </c>
      <c r="B40" t="s">
        <v>83</v>
      </c>
      <c r="C40">
        <v>619</v>
      </c>
      <c r="D40">
        <v>483</v>
      </c>
      <c r="E40">
        <v>11</v>
      </c>
      <c r="F40">
        <v>121</v>
      </c>
      <c r="G40">
        <f t="shared" si="0"/>
        <v>4</v>
      </c>
      <c r="H40" s="7">
        <v>5.5844907407407406E-2</v>
      </c>
    </row>
    <row r="41" spans="1:8" x14ac:dyDescent="0.25">
      <c r="A41" t="s">
        <v>83</v>
      </c>
      <c r="B41" t="s">
        <v>84</v>
      </c>
      <c r="C41">
        <v>465</v>
      </c>
      <c r="D41">
        <v>369</v>
      </c>
      <c r="E41">
        <v>7</v>
      </c>
      <c r="F41">
        <v>87</v>
      </c>
      <c r="G41">
        <f t="shared" si="0"/>
        <v>2</v>
      </c>
      <c r="H41" s="7">
        <v>0.12608796296296296</v>
      </c>
    </row>
    <row r="42" spans="1:8" x14ac:dyDescent="0.25">
      <c r="A42" t="s">
        <v>84</v>
      </c>
      <c r="B42" t="s">
        <v>87</v>
      </c>
      <c r="C42">
        <v>516</v>
      </c>
      <c r="D42">
        <v>382</v>
      </c>
      <c r="E42">
        <v>6</v>
      </c>
      <c r="F42">
        <v>120</v>
      </c>
      <c r="G42">
        <f t="shared" si="0"/>
        <v>8</v>
      </c>
      <c r="H42" s="7">
        <v>8.7337962962962964E-2</v>
      </c>
    </row>
    <row r="43" spans="1:8" x14ac:dyDescent="0.25">
      <c r="A43" t="s">
        <v>87</v>
      </c>
      <c r="B43" t="s">
        <v>88</v>
      </c>
      <c r="C43">
        <v>125</v>
      </c>
      <c r="D43">
        <v>93</v>
      </c>
      <c r="E43">
        <v>2</v>
      </c>
      <c r="F43">
        <v>26</v>
      </c>
      <c r="G43">
        <f t="shared" si="0"/>
        <v>4</v>
      </c>
      <c r="H43" s="7">
        <v>0.38429398148148147</v>
      </c>
    </row>
    <row r="44" spans="1:8" x14ac:dyDescent="0.25">
      <c r="A44" t="s">
        <v>89</v>
      </c>
      <c r="B44" t="s">
        <v>90</v>
      </c>
      <c r="C44">
        <v>1</v>
      </c>
      <c r="D44">
        <v>1</v>
      </c>
      <c r="E44">
        <v>0</v>
      </c>
      <c r="F44">
        <v>0</v>
      </c>
      <c r="G44">
        <f t="shared" si="0"/>
        <v>0</v>
      </c>
      <c r="H44" s="7">
        <v>1.0416666666666667E-4</v>
      </c>
    </row>
    <row r="45" spans="1:8" x14ac:dyDescent="0.25">
      <c r="A45" t="s">
        <v>90</v>
      </c>
      <c r="B45" t="s">
        <v>91</v>
      </c>
      <c r="C45">
        <v>4</v>
      </c>
      <c r="D45">
        <v>3</v>
      </c>
      <c r="E45">
        <v>0</v>
      </c>
      <c r="F45">
        <v>0</v>
      </c>
      <c r="G45">
        <f t="shared" si="0"/>
        <v>1</v>
      </c>
      <c r="H45" s="7">
        <v>0.18254629629629629</v>
      </c>
    </row>
    <row r="46" spans="1:8" x14ac:dyDescent="0.25">
      <c r="A46" t="s">
        <v>91</v>
      </c>
      <c r="B46" t="s">
        <v>92</v>
      </c>
      <c r="C46">
        <v>1</v>
      </c>
      <c r="D46">
        <v>0</v>
      </c>
      <c r="E46">
        <v>0</v>
      </c>
      <c r="F46">
        <v>0</v>
      </c>
      <c r="G46">
        <f t="shared" si="0"/>
        <v>1</v>
      </c>
    </row>
    <row r="47" spans="1:8" x14ac:dyDescent="0.25">
      <c r="A47" t="s">
        <v>93</v>
      </c>
      <c r="B47" t="s">
        <v>94</v>
      </c>
      <c r="C47">
        <v>3</v>
      </c>
      <c r="D47">
        <v>1</v>
      </c>
      <c r="E47">
        <v>0</v>
      </c>
      <c r="F47">
        <v>0</v>
      </c>
      <c r="G47">
        <f t="shared" si="0"/>
        <v>2</v>
      </c>
      <c r="H47" s="7">
        <v>1.5891203703703703E-2</v>
      </c>
    </row>
    <row r="48" spans="1:8" ht="15.75" thickBot="1" x14ac:dyDescent="0.3">
      <c r="A48" s="8" t="s">
        <v>10</v>
      </c>
      <c r="B48" s="8"/>
      <c r="C48" s="8">
        <f>SUM(C8:C47)</f>
        <v>15450</v>
      </c>
      <c r="D48" s="8">
        <f t="shared" ref="D48:F48" si="1">SUM(D8:D47)</f>
        <v>11729</v>
      </c>
      <c r="E48" s="8">
        <f t="shared" si="1"/>
        <v>665</v>
      </c>
      <c r="F48" s="8">
        <f t="shared" si="1"/>
        <v>2990</v>
      </c>
      <c r="G48" s="8">
        <f>C48-SUM(D48:F48)</f>
        <v>66</v>
      </c>
    </row>
    <row r="49" ht="15.75" thickTop="1" x14ac:dyDescent="0.25"/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7A5B1-975E-4DF2-BB8A-51542EBF9D36}">
  <dimension ref="A1:E28"/>
  <sheetViews>
    <sheetView workbookViewId="0">
      <selection activeCell="C4" sqref="C4"/>
    </sheetView>
  </sheetViews>
  <sheetFormatPr defaultRowHeight="15" x14ac:dyDescent="0.25"/>
  <cols>
    <col min="1" max="1" width="20" bestFit="1" customWidth="1"/>
    <col min="2" max="2" width="14.42578125" customWidth="1"/>
    <col min="3" max="3" width="5.85546875" customWidth="1"/>
    <col min="4" max="4" width="12" bestFit="1" customWidth="1"/>
    <col min="5" max="5" width="16.7109375" bestFit="1" customWidth="1"/>
  </cols>
  <sheetData>
    <row r="1" spans="1:5" x14ac:dyDescent="0.25">
      <c r="A1" t="s">
        <v>0</v>
      </c>
      <c r="B1">
        <f>10000</f>
        <v>10000</v>
      </c>
      <c r="D1" t="s">
        <v>1</v>
      </c>
      <c r="E1" s="2" t="s">
        <v>2</v>
      </c>
    </row>
    <row r="2" spans="1:5" x14ac:dyDescent="0.25">
      <c r="A2" t="s">
        <v>3</v>
      </c>
      <c r="B2">
        <v>0</v>
      </c>
    </row>
    <row r="3" spans="1:5" x14ac:dyDescent="0.25">
      <c r="A3" t="s">
        <v>11</v>
      </c>
      <c r="B3" t="s">
        <v>12</v>
      </c>
      <c r="C3" t="s">
        <v>6</v>
      </c>
      <c r="D3" t="s">
        <v>7</v>
      </c>
      <c r="E3" t="s">
        <v>8</v>
      </c>
    </row>
    <row r="4" spans="1:5" x14ac:dyDescent="0.25">
      <c r="A4" s="1">
        <v>44074</v>
      </c>
      <c r="B4" s="1" t="s">
        <v>13</v>
      </c>
      <c r="C4">
        <v>155</v>
      </c>
      <c r="E4">
        <f>$B$1-$C4</f>
        <v>9845</v>
      </c>
    </row>
    <row r="5" spans="1:5" x14ac:dyDescent="0.25">
      <c r="A5" s="1">
        <v>44104</v>
      </c>
      <c r="B5" s="1" t="s">
        <v>14</v>
      </c>
      <c r="C5">
        <v>360</v>
      </c>
      <c r="D5">
        <f>C4+C5</f>
        <v>515</v>
      </c>
      <c r="E5">
        <f t="shared" ref="E5:E27" si="0">$B$1-D5</f>
        <v>9485</v>
      </c>
    </row>
    <row r="6" spans="1:5" x14ac:dyDescent="0.25">
      <c r="A6" s="1">
        <v>44135</v>
      </c>
      <c r="B6" t="s">
        <v>15</v>
      </c>
      <c r="C6">
        <v>468</v>
      </c>
      <c r="D6">
        <f>C5+C6</f>
        <v>828</v>
      </c>
      <c r="E6">
        <f t="shared" si="0"/>
        <v>9172</v>
      </c>
    </row>
    <row r="7" spans="1:5" x14ac:dyDescent="0.25">
      <c r="A7" s="1">
        <v>44144</v>
      </c>
      <c r="B7" t="s">
        <v>16</v>
      </c>
      <c r="C7">
        <v>48</v>
      </c>
      <c r="D7">
        <f>C7+D6</f>
        <v>876</v>
      </c>
      <c r="E7">
        <f t="shared" si="0"/>
        <v>9124</v>
      </c>
    </row>
    <row r="8" spans="1:5" x14ac:dyDescent="0.25">
      <c r="A8" s="1"/>
      <c r="D8">
        <f>C8+D7</f>
        <v>876</v>
      </c>
      <c r="E8">
        <f t="shared" si="0"/>
        <v>9124</v>
      </c>
    </row>
    <row r="9" spans="1:5" x14ac:dyDescent="0.25">
      <c r="A9" s="1"/>
      <c r="D9">
        <f t="shared" ref="D9:D27" si="1">C9+D8</f>
        <v>876</v>
      </c>
      <c r="E9">
        <f t="shared" si="0"/>
        <v>9124</v>
      </c>
    </row>
    <row r="10" spans="1:5" x14ac:dyDescent="0.25">
      <c r="A10" s="1"/>
      <c r="D10">
        <f t="shared" si="1"/>
        <v>876</v>
      </c>
      <c r="E10">
        <f t="shared" si="0"/>
        <v>9124</v>
      </c>
    </row>
    <row r="11" spans="1:5" x14ac:dyDescent="0.25">
      <c r="A11" s="1"/>
      <c r="D11">
        <f t="shared" si="1"/>
        <v>876</v>
      </c>
      <c r="E11">
        <f t="shared" si="0"/>
        <v>9124</v>
      </c>
    </row>
    <row r="12" spans="1:5" x14ac:dyDescent="0.25">
      <c r="A12" s="1"/>
      <c r="D12">
        <f t="shared" si="1"/>
        <v>876</v>
      </c>
      <c r="E12">
        <f t="shared" si="0"/>
        <v>9124</v>
      </c>
    </row>
    <row r="13" spans="1:5" x14ac:dyDescent="0.25">
      <c r="A13" s="1"/>
      <c r="D13">
        <f t="shared" si="1"/>
        <v>876</v>
      </c>
      <c r="E13">
        <f t="shared" si="0"/>
        <v>9124</v>
      </c>
    </row>
    <row r="14" spans="1:5" x14ac:dyDescent="0.25">
      <c r="A14" s="1"/>
      <c r="D14">
        <f t="shared" si="1"/>
        <v>876</v>
      </c>
      <c r="E14">
        <f t="shared" si="0"/>
        <v>9124</v>
      </c>
    </row>
    <row r="15" spans="1:5" x14ac:dyDescent="0.25">
      <c r="A15" s="1"/>
      <c r="D15">
        <f t="shared" si="1"/>
        <v>876</v>
      </c>
      <c r="E15">
        <f t="shared" si="0"/>
        <v>9124</v>
      </c>
    </row>
    <row r="16" spans="1:5" x14ac:dyDescent="0.25">
      <c r="A16" s="1"/>
      <c r="D16">
        <f t="shared" si="1"/>
        <v>876</v>
      </c>
      <c r="E16">
        <f t="shared" si="0"/>
        <v>9124</v>
      </c>
    </row>
    <row r="17" spans="1:5" x14ac:dyDescent="0.25">
      <c r="A17" s="1"/>
      <c r="D17">
        <f t="shared" si="1"/>
        <v>876</v>
      </c>
      <c r="E17">
        <f t="shared" si="0"/>
        <v>9124</v>
      </c>
    </row>
    <row r="18" spans="1:5" x14ac:dyDescent="0.25">
      <c r="A18" s="1"/>
      <c r="D18">
        <f t="shared" si="1"/>
        <v>876</v>
      </c>
      <c r="E18">
        <f t="shared" si="0"/>
        <v>9124</v>
      </c>
    </row>
    <row r="19" spans="1:5" x14ac:dyDescent="0.25">
      <c r="A19" s="1"/>
      <c r="D19">
        <f t="shared" si="1"/>
        <v>876</v>
      </c>
      <c r="E19">
        <f t="shared" si="0"/>
        <v>9124</v>
      </c>
    </row>
    <row r="20" spans="1:5" x14ac:dyDescent="0.25">
      <c r="A20" s="1"/>
      <c r="D20">
        <f t="shared" si="1"/>
        <v>876</v>
      </c>
      <c r="E20">
        <f t="shared" si="0"/>
        <v>9124</v>
      </c>
    </row>
    <row r="21" spans="1:5" x14ac:dyDescent="0.25">
      <c r="A21" s="1"/>
      <c r="D21">
        <f t="shared" si="1"/>
        <v>876</v>
      </c>
      <c r="E21">
        <f t="shared" si="0"/>
        <v>9124</v>
      </c>
    </row>
    <row r="22" spans="1:5" x14ac:dyDescent="0.25">
      <c r="A22" s="1"/>
      <c r="D22">
        <f t="shared" si="1"/>
        <v>876</v>
      </c>
      <c r="E22">
        <f t="shared" si="0"/>
        <v>9124</v>
      </c>
    </row>
    <row r="23" spans="1:5" x14ac:dyDescent="0.25">
      <c r="A23" s="1"/>
      <c r="D23">
        <f t="shared" si="1"/>
        <v>876</v>
      </c>
      <c r="E23">
        <f t="shared" si="0"/>
        <v>9124</v>
      </c>
    </row>
    <row r="24" spans="1:5" x14ac:dyDescent="0.25">
      <c r="A24" s="1"/>
      <c r="D24">
        <f t="shared" si="1"/>
        <v>876</v>
      </c>
      <c r="E24">
        <f t="shared" si="0"/>
        <v>9124</v>
      </c>
    </row>
    <row r="25" spans="1:5" x14ac:dyDescent="0.25">
      <c r="A25" s="1"/>
      <c r="D25">
        <f t="shared" si="1"/>
        <v>876</v>
      </c>
      <c r="E25">
        <f t="shared" si="0"/>
        <v>9124</v>
      </c>
    </row>
    <row r="26" spans="1:5" x14ac:dyDescent="0.25">
      <c r="A26" s="1"/>
      <c r="D26">
        <f t="shared" si="1"/>
        <v>876</v>
      </c>
      <c r="E26">
        <f t="shared" si="0"/>
        <v>9124</v>
      </c>
    </row>
    <row r="27" spans="1:5" x14ac:dyDescent="0.25">
      <c r="A27" s="1"/>
      <c r="D27">
        <f t="shared" si="1"/>
        <v>876</v>
      </c>
      <c r="E27">
        <f t="shared" si="0"/>
        <v>9124</v>
      </c>
    </row>
    <row r="28" spans="1:5" x14ac:dyDescent="0.25">
      <c r="B28" t="s">
        <v>10</v>
      </c>
      <c r="C28">
        <f>SUM(C4:C27)</f>
        <v>1031</v>
      </c>
    </row>
  </sheetData>
  <pageMargins left="0.7" right="0.7" top="0.75" bottom="0.75" header="0.3" footer="0.3"/>
  <pageSetup orientation="portrait" r:id="rId1"/>
  <headerFooter>
    <oddFooter>&amp;C&amp;1#&amp;"Calibri"&amp;10&amp;KD89B2BConfidential - Company Proprietary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workbookViewId="0">
      <selection activeCell="D19" sqref="D19"/>
    </sheetView>
  </sheetViews>
  <sheetFormatPr defaultRowHeight="15" x14ac:dyDescent="0.25"/>
  <cols>
    <col min="1" max="1" width="20" bestFit="1" customWidth="1"/>
    <col min="2" max="2" width="14.42578125" customWidth="1"/>
    <col min="3" max="3" width="5.85546875" customWidth="1"/>
    <col min="4" max="4" width="12" bestFit="1" customWidth="1"/>
    <col min="5" max="5" width="16.7109375" bestFit="1" customWidth="1"/>
  </cols>
  <sheetData>
    <row r="1" spans="1:5" x14ac:dyDescent="0.25">
      <c r="A1" t="s">
        <v>0</v>
      </c>
      <c r="B1">
        <v>3000</v>
      </c>
    </row>
    <row r="2" spans="1:5" x14ac:dyDescent="0.25">
      <c r="A2" t="s">
        <v>3</v>
      </c>
      <c r="B2">
        <f>3000-SUM(C4:C14)</f>
        <v>988</v>
      </c>
    </row>
    <row r="3" spans="1:5" x14ac:dyDescent="0.25">
      <c r="A3" t="s">
        <v>11</v>
      </c>
      <c r="B3" t="s">
        <v>12</v>
      </c>
      <c r="C3" t="s">
        <v>6</v>
      </c>
      <c r="D3" t="s">
        <v>7</v>
      </c>
      <c r="E3" t="s">
        <v>8</v>
      </c>
    </row>
    <row r="4" spans="1:5" x14ac:dyDescent="0.25">
      <c r="A4" s="1">
        <v>43511</v>
      </c>
      <c r="B4" s="1" t="s">
        <v>17</v>
      </c>
      <c r="C4">
        <v>0</v>
      </c>
      <c r="E4">
        <f>$B$1-$C4</f>
        <v>3000</v>
      </c>
    </row>
    <row r="5" spans="1:5" x14ac:dyDescent="0.25">
      <c r="A5" s="1">
        <v>43539</v>
      </c>
      <c r="B5" s="1" t="s">
        <v>18</v>
      </c>
      <c r="C5">
        <v>0</v>
      </c>
      <c r="D5">
        <f>C4+C5</f>
        <v>0</v>
      </c>
      <c r="E5">
        <f t="shared" ref="E5:E27" si="0">$B$1-D5</f>
        <v>3000</v>
      </c>
    </row>
    <row r="6" spans="1:5" x14ac:dyDescent="0.25">
      <c r="A6" s="1">
        <v>43570</v>
      </c>
      <c r="B6" t="s">
        <v>19</v>
      </c>
      <c r="C6">
        <v>2</v>
      </c>
      <c r="D6">
        <f>C4:C6</f>
        <v>2</v>
      </c>
      <c r="E6">
        <f t="shared" si="0"/>
        <v>2998</v>
      </c>
    </row>
    <row r="7" spans="1:5" x14ac:dyDescent="0.25">
      <c r="A7" s="1">
        <v>43600</v>
      </c>
      <c r="B7" t="s">
        <v>20</v>
      </c>
      <c r="C7">
        <v>28</v>
      </c>
      <c r="D7">
        <f>C7+D6</f>
        <v>30</v>
      </c>
      <c r="E7">
        <f t="shared" si="0"/>
        <v>2970</v>
      </c>
    </row>
    <row r="8" spans="1:5" x14ac:dyDescent="0.25">
      <c r="A8" s="1">
        <v>43631</v>
      </c>
      <c r="B8" t="s">
        <v>21</v>
      </c>
      <c r="C8">
        <v>58</v>
      </c>
      <c r="D8">
        <f>C8+D7</f>
        <v>88</v>
      </c>
      <c r="E8">
        <f t="shared" si="0"/>
        <v>2912</v>
      </c>
    </row>
    <row r="9" spans="1:5" x14ac:dyDescent="0.25">
      <c r="A9" s="1">
        <v>43661</v>
      </c>
      <c r="B9" t="s">
        <v>22</v>
      </c>
      <c r="C9">
        <v>47</v>
      </c>
      <c r="D9">
        <f t="shared" ref="D9:D27" si="1">C9+D8</f>
        <v>135</v>
      </c>
      <c r="E9">
        <f t="shared" si="0"/>
        <v>2865</v>
      </c>
    </row>
    <row r="10" spans="1:5" x14ac:dyDescent="0.25">
      <c r="A10" s="1">
        <v>43692</v>
      </c>
      <c r="B10" t="s">
        <v>23</v>
      </c>
      <c r="C10">
        <v>95</v>
      </c>
      <c r="D10">
        <f t="shared" si="1"/>
        <v>230</v>
      </c>
      <c r="E10">
        <f t="shared" si="0"/>
        <v>2770</v>
      </c>
    </row>
    <row r="11" spans="1:5" x14ac:dyDescent="0.25">
      <c r="A11" s="1">
        <v>43723</v>
      </c>
      <c r="B11" t="s">
        <v>24</v>
      </c>
      <c r="C11">
        <v>253</v>
      </c>
      <c r="D11">
        <f t="shared" si="1"/>
        <v>483</v>
      </c>
      <c r="E11">
        <f t="shared" si="0"/>
        <v>2517</v>
      </c>
    </row>
    <row r="12" spans="1:5" x14ac:dyDescent="0.25">
      <c r="A12" s="1">
        <v>43753</v>
      </c>
      <c r="B12" t="s">
        <v>25</v>
      </c>
      <c r="C12">
        <v>666</v>
      </c>
      <c r="D12">
        <f t="shared" si="1"/>
        <v>1149</v>
      </c>
      <c r="E12">
        <f t="shared" si="0"/>
        <v>1851</v>
      </c>
    </row>
    <row r="13" spans="1:5" x14ac:dyDescent="0.25">
      <c r="A13" s="1">
        <v>43784</v>
      </c>
      <c r="B13" t="s">
        <v>26</v>
      </c>
      <c r="C13">
        <v>394</v>
      </c>
      <c r="D13">
        <f t="shared" si="1"/>
        <v>1543</v>
      </c>
      <c r="E13">
        <f t="shared" si="0"/>
        <v>1457</v>
      </c>
    </row>
    <row r="14" spans="1:5" x14ac:dyDescent="0.25">
      <c r="A14" s="1">
        <v>43814</v>
      </c>
      <c r="B14" t="s">
        <v>27</v>
      </c>
      <c r="C14">
        <v>469</v>
      </c>
      <c r="D14">
        <f t="shared" si="1"/>
        <v>2012</v>
      </c>
      <c r="E14">
        <f t="shared" si="0"/>
        <v>988</v>
      </c>
    </row>
    <row r="15" spans="1:5" x14ac:dyDescent="0.25">
      <c r="A15" s="1">
        <f>DATE(YEAR(A14), MONTH(A14)+1,DAY(A14))</f>
        <v>43845</v>
      </c>
      <c r="B15" t="s">
        <v>28</v>
      </c>
      <c r="C15">
        <v>137</v>
      </c>
      <c r="D15">
        <f t="shared" si="1"/>
        <v>2149</v>
      </c>
      <c r="E15">
        <f t="shared" si="0"/>
        <v>851</v>
      </c>
    </row>
    <row r="16" spans="1:5" x14ac:dyDescent="0.25">
      <c r="A16" s="1">
        <f t="shared" ref="A16:A27" si="2">DATE(YEAR(A15), MONTH(A15)+1,DAY(A15))</f>
        <v>43876</v>
      </c>
      <c r="B16" t="s">
        <v>29</v>
      </c>
      <c r="C16">
        <v>232</v>
      </c>
      <c r="D16">
        <f t="shared" si="1"/>
        <v>2381</v>
      </c>
      <c r="E16">
        <f t="shared" si="0"/>
        <v>619</v>
      </c>
    </row>
    <row r="17" spans="1:5" x14ac:dyDescent="0.25">
      <c r="A17" s="1">
        <f t="shared" si="2"/>
        <v>43905</v>
      </c>
      <c r="B17" t="s">
        <v>30</v>
      </c>
      <c r="C17">
        <v>97</v>
      </c>
      <c r="D17">
        <f t="shared" si="1"/>
        <v>2478</v>
      </c>
      <c r="E17">
        <f t="shared" si="0"/>
        <v>522</v>
      </c>
    </row>
    <row r="18" spans="1:5" x14ac:dyDescent="0.25">
      <c r="A18" s="1">
        <f t="shared" si="2"/>
        <v>43936</v>
      </c>
      <c r="B18" t="s">
        <v>31</v>
      </c>
      <c r="C18">
        <v>167</v>
      </c>
      <c r="D18">
        <f t="shared" si="1"/>
        <v>2645</v>
      </c>
      <c r="E18">
        <f t="shared" si="0"/>
        <v>355</v>
      </c>
    </row>
    <row r="19" spans="1:5" x14ac:dyDescent="0.25">
      <c r="A19" s="1">
        <f t="shared" si="2"/>
        <v>43966</v>
      </c>
      <c r="B19" t="s">
        <v>32</v>
      </c>
      <c r="C19">
        <f>55-1000</f>
        <v>-945</v>
      </c>
      <c r="D19">
        <f t="shared" si="1"/>
        <v>1700</v>
      </c>
      <c r="E19">
        <f t="shared" si="0"/>
        <v>1300</v>
      </c>
    </row>
    <row r="20" spans="1:5" x14ac:dyDescent="0.25">
      <c r="A20" s="1">
        <f t="shared" si="2"/>
        <v>43997</v>
      </c>
      <c r="B20" t="s">
        <v>33</v>
      </c>
      <c r="C20">
        <v>194</v>
      </c>
      <c r="D20">
        <f t="shared" si="1"/>
        <v>1894</v>
      </c>
      <c r="E20">
        <f t="shared" si="0"/>
        <v>1106</v>
      </c>
    </row>
    <row r="21" spans="1:5" x14ac:dyDescent="0.25">
      <c r="A21" s="1">
        <f t="shared" si="2"/>
        <v>44027</v>
      </c>
      <c r="B21" t="s">
        <v>34</v>
      </c>
      <c r="C21">
        <v>411</v>
      </c>
      <c r="D21">
        <f t="shared" si="1"/>
        <v>2305</v>
      </c>
      <c r="E21">
        <f t="shared" si="0"/>
        <v>695</v>
      </c>
    </row>
    <row r="22" spans="1:5" x14ac:dyDescent="0.25">
      <c r="A22" s="1">
        <f t="shared" si="2"/>
        <v>44058</v>
      </c>
      <c r="B22" t="s">
        <v>35</v>
      </c>
      <c r="C22">
        <v>482</v>
      </c>
      <c r="D22">
        <f t="shared" si="1"/>
        <v>2787</v>
      </c>
      <c r="E22">
        <f t="shared" si="0"/>
        <v>213</v>
      </c>
    </row>
    <row r="23" spans="1:5" x14ac:dyDescent="0.25">
      <c r="A23" s="1">
        <f t="shared" si="2"/>
        <v>44089</v>
      </c>
      <c r="D23">
        <f t="shared" si="1"/>
        <v>2787</v>
      </c>
      <c r="E23">
        <f t="shared" si="0"/>
        <v>213</v>
      </c>
    </row>
    <row r="24" spans="1:5" x14ac:dyDescent="0.25">
      <c r="A24" s="1">
        <f t="shared" si="2"/>
        <v>44119</v>
      </c>
      <c r="D24">
        <f t="shared" si="1"/>
        <v>2787</v>
      </c>
      <c r="E24">
        <f t="shared" si="0"/>
        <v>213</v>
      </c>
    </row>
    <row r="25" spans="1:5" x14ac:dyDescent="0.25">
      <c r="A25" s="1">
        <f t="shared" si="2"/>
        <v>44150</v>
      </c>
      <c r="D25">
        <f t="shared" si="1"/>
        <v>2787</v>
      </c>
      <c r="E25">
        <f t="shared" si="0"/>
        <v>213</v>
      </c>
    </row>
    <row r="26" spans="1:5" x14ac:dyDescent="0.25">
      <c r="A26" s="1">
        <f t="shared" si="2"/>
        <v>44180</v>
      </c>
      <c r="D26">
        <f t="shared" si="1"/>
        <v>2787</v>
      </c>
      <c r="E26">
        <f t="shared" si="0"/>
        <v>213</v>
      </c>
    </row>
    <row r="27" spans="1:5" x14ac:dyDescent="0.25">
      <c r="A27" s="1">
        <f t="shared" si="2"/>
        <v>44211</v>
      </c>
      <c r="D27">
        <f t="shared" si="1"/>
        <v>2787</v>
      </c>
      <c r="E27">
        <f t="shared" si="0"/>
        <v>213</v>
      </c>
    </row>
    <row r="28" spans="1:5" x14ac:dyDescent="0.25">
      <c r="B28" t="s">
        <v>10</v>
      </c>
      <c r="C28">
        <f>SUM(C4:C27)</f>
        <v>2787</v>
      </c>
    </row>
  </sheetData>
  <pageMargins left="0.7" right="0.7" top="0.75" bottom="0.75" header="0.3" footer="0.3"/>
  <pageSetup orientation="portrait" r:id="rId1"/>
  <headerFooter>
    <oddFooter>&amp;C&amp;1#&amp;"Calibri"&amp;10&amp;KD89B2BConfidential - Company Proprietary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5F12D-61FA-473E-B401-38384C5194A4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  <headerFooter>
    <oddFooter>&amp;C&amp;1#&amp;"Calibri"&amp;10&amp;KD89B2BConfidential - Company Proprietary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ReportByEnvelopeVolume</vt:lpstr>
      <vt:lpstr>Envelope Volume Report Aug 2022</vt:lpstr>
      <vt:lpstr>Envelope Volume July 2023</vt:lpstr>
      <vt:lpstr>AUG2020</vt:lpstr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Evans</dc:creator>
  <cp:keywords/>
  <dc:description/>
  <cp:lastModifiedBy>Evans, Mark</cp:lastModifiedBy>
  <cp:revision/>
  <dcterms:created xsi:type="dcterms:W3CDTF">2020-02-05T02:38:58Z</dcterms:created>
  <dcterms:modified xsi:type="dcterms:W3CDTF">2025-07-25T04:24:03Z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8041ff-f5de-4583-8841-e2a1851ee5d2_Enabled">
    <vt:lpwstr>true</vt:lpwstr>
  </property>
  <property fmtid="{D5CDD505-2E9C-101B-9397-08002B2CF9AE}" pid="3" name="MSIP_Label_f48041ff-f5de-4583-8841-e2a1851ee5d2_SetDate">
    <vt:lpwstr>2021-10-10T22:34:54Z</vt:lpwstr>
  </property>
  <property fmtid="{D5CDD505-2E9C-101B-9397-08002B2CF9AE}" pid="4" name="MSIP_Label_f48041ff-f5de-4583-8841-e2a1851ee5d2_Method">
    <vt:lpwstr>Privileged</vt:lpwstr>
  </property>
  <property fmtid="{D5CDD505-2E9C-101B-9397-08002B2CF9AE}" pid="5" name="MSIP_Label_f48041ff-f5de-4583-8841-e2a1851ee5d2_Name">
    <vt:lpwstr>Confidential</vt:lpwstr>
  </property>
  <property fmtid="{D5CDD505-2E9C-101B-9397-08002B2CF9AE}" pid="6" name="MSIP_Label_f48041ff-f5de-4583-8841-e2a1851ee5d2_SiteId">
    <vt:lpwstr>771c9c47-7f24-44dc-958e-34f8713a8394</vt:lpwstr>
  </property>
  <property fmtid="{D5CDD505-2E9C-101B-9397-08002B2CF9AE}" pid="7" name="MSIP_Label_f48041ff-f5de-4583-8841-e2a1851ee5d2_ActionId">
    <vt:lpwstr>f8400947-f3f1-420c-85cf-c90d3b60910b</vt:lpwstr>
  </property>
  <property fmtid="{D5CDD505-2E9C-101B-9397-08002B2CF9AE}" pid="8" name="MSIP_Label_f48041ff-f5de-4583-8841-e2a1851ee5d2_ContentBits">
    <vt:lpwstr>2</vt:lpwstr>
  </property>
</Properties>
</file>